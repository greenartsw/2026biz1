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625720364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59de3e8a72ee4e93"/>
    <x:sheet xmlns:r="http://schemas.openxmlformats.org/officeDocument/2006/relationships" name="01_문서정보" sheetId="2" r:id="R8e7dbd125ec541f9"/>
    <x:sheet xmlns:r="http://schemas.openxmlformats.org/officeDocument/2006/relationships" name="02_화면설계_PC" sheetId="3" r:id="Rf1dfe5e7739d4403"/>
    <x:sheet xmlns:r="http://schemas.openxmlformats.org/officeDocument/2006/relationships" name="03_Description" sheetId="4" r:id="R6dd06d864f0c4d90"/>
    <x:sheet xmlns:r="http://schemas.openxmlformats.org/officeDocument/2006/relationships" name="04_UI요소정의" sheetId="5" r:id="R32341643a431490a"/>
    <x:sheet xmlns:r="http://schemas.openxmlformats.org/officeDocument/2006/relationships" name="05_데이터_샘플" sheetId="6" r:id="Re4a0e3144bfb4a28"/>
    <x:sheet xmlns:r="http://schemas.openxmlformats.org/officeDocument/2006/relationships" name="06_검수체크리스트" sheetId="7" r:id="Ra3a342999146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2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name val="Carlito"/>
    </x:font>
    <x:font>
      <x:b/>
      <x:sz val="13"/>
      <x:color rgb="FFFFFFFF"/>
      <x:name val="Carlito"/>
    </x:font>
    <x:font>
      <x:b/>
      <x:sz val="11"/>
      <x:color rgb="FFB91C1C"/>
      <x:name val="Carlito"/>
    </x:font>
    <x:font>
      <x:b/>
      <x:sz val="12"/>
      <x:color rgb="FFFFFFFF"/>
      <x:name val="Carlito"/>
    </x:font>
    <x:font>
      <x:b/>
      <x:sz val="12"/>
      <x:color rgb="FF111827"/>
      <x:name val="Carlito"/>
    </x:font>
    <x:font>
      <x:b/>
      <x:sz val="11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0B3B8F"/>
      </x:patternFill>
    </x:fill>
    <x:fill>
      <x:patternFill patternType="solid">
        <x:fgColor rgb="FFEF4444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left" wrapText="1"/>
    </x:xf>
    <x:xf numFmtId="0" fontId="3" fillId="7" borderId="0" xfId="0" applyNumberFormat="1" applyFont="1" applyFill="1" applyBorder="1" applyAlignment="1">
      <x:alignment horizontal="left" vertical="center" wrapText="1"/>
    </x:xf>
    <x:xf numFmtId="0" fontId="3" fillId="7" borderId="1" xfId="0" applyNumberFormat="1" applyFont="1" applyFill="1" applyBorder="1" applyAlignment="1">
      <x:alignment horizontal="left" wrapText="1"/>
    </x:xf>
    <x:xf numFmtId="0" fontId="3" fillId="7" borderId="1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3" borderId="0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/>
    <x:xf numFmtId="200" fontId="3" fillId="3" borderId="1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left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e094bc0e648f0" /><Relationship Type="http://schemas.openxmlformats.org/officeDocument/2006/relationships/theme" Target="/xl/theme/theme1.xml" Id="Rf4d810036b5e46ab" /><Relationship Type="http://schemas.openxmlformats.org/officeDocument/2006/relationships/sharedStrings" Target="/xl/sharedStrings.xml" Id="Ra1f510f2b75a4e01" /><Relationship Type="http://schemas.openxmlformats.org/officeDocument/2006/relationships/worksheet" Target="/xl/worksheets/sheet1.xml" Id="R59de3e8a72ee4e93" /><Relationship Type="http://schemas.openxmlformats.org/officeDocument/2006/relationships/worksheet" Target="/xl/worksheets/sheet2.xml" Id="R8e7dbd125ec541f9" /><Relationship Type="http://schemas.openxmlformats.org/officeDocument/2006/relationships/worksheet" Target="/xl/worksheets/sheet3.xml" Id="Rf1dfe5e7739d4403" /><Relationship Type="http://schemas.openxmlformats.org/officeDocument/2006/relationships/worksheet" Target="/xl/worksheets/sheet4.xml" Id="R6dd06d864f0c4d90" /><Relationship Type="http://schemas.openxmlformats.org/officeDocument/2006/relationships/worksheet" Target="/xl/worksheets/sheet5.xml" Id="R32341643a431490a" /><Relationship Type="http://schemas.openxmlformats.org/officeDocument/2006/relationships/worksheet" Target="/xl/worksheets/sheet6.xml" Id="Re4a0e3144bfb4a28" /><Relationship Type="http://schemas.openxmlformats.org/officeDocument/2006/relationships/worksheet" Target="/xl/worksheets/sheet7.xml" Id="Ra3a342999146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54" t="str">
        <x:v>훈련생 성장 대시보드 화면설계서 · Google Sheets 버전</x:v>
      </x:c>
      <x:c r="B1" s="154"/>
      <x:c r="C1" s="154"/>
      <x:c r="D1" s="154"/>
      <x:c r="E1" s="154"/>
      <x:c r="F1" s="154"/>
      <x:c r="G1" s="154"/>
      <x:c r="H1" s="154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54"/>
      <x:c r="B2" s="154"/>
      <x:c r="C2" s="154"/>
      <x:c r="D2" s="154"/>
      <x:c r="E2" s="154"/>
      <x:c r="F2" s="154"/>
      <x:c r="G2" s="154"/>
      <x:c r="H2" s="154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55" t="str">
        <x:v>사용 목적</x:v>
      </x:c>
      <x:c r="B4" s="155"/>
      <x:c r="C4" s="155"/>
      <x:c r="D4" s="155"/>
      <x:c r="E4" s="155"/>
      <x:c r="F4" s="155"/>
      <x:c r="G4" s="155"/>
      <x:c r="H4" s="155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/>
      <x:c r="B5" s="22" t="str">
        <x:v>구분</x:v>
      </x:c>
      <x:c r="C5" s="22" t="str">
        <x:v>내용</x:v>
      </x:c>
      <x:c r="D5" s="16" t="str"/>
      <x:c r="E5" s="16" t="str"/>
      <x:c r="F5" s="16" t="str"/>
      <x:c r="G5" s="16" t="str"/>
      <x:c r="H5" s="16" t="str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/>
      <x:c r="B6" s="17" t="str">
        <x:v>문서 성격</x:v>
      </x:c>
      <x:c r="C6" s="17" t="str">
        <x:v>기업 제공용 훈련생 성장 대시보드 / 성적 결과서 UI 화면설계서</x:v>
      </x:c>
      <x:c r="D6" s="16" t="str"/>
      <x:c r="E6" s="16" t="str"/>
      <x:c r="F6" s="16" t="str"/>
      <x:c r="G6" s="16" t="str"/>
      <x:c r="H6" s="16" t="str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/>
      <x:c r="B7" s="17" t="str">
        <x:v>활용 방법</x:v>
      </x:c>
      <x:c r="C7" s="17" t="str">
        <x:v>구글시트에서 화면 구조, 콜아웃 번호, 설명, 데이터 정의를 함께 검토할 수 있도록 구성</x:v>
      </x:c>
      <x:c r="D7" s="16" t="str"/>
      <x:c r="E7" s="16" t="str"/>
      <x:c r="F7" s="16" t="str"/>
      <x:c r="G7" s="16" t="str"/>
      <x:c r="H7" s="16" t="str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/>
      <x:c r="B8" s="17" t="str">
        <x:v>주의</x:v>
      </x:c>
      <x:c r="C8" s="17" t="str">
        <x:v>실제 서비스 화면이 아니라 화면설계/기획 검토용 산출물입니다.</x:v>
      </x:c>
      <x:c r="D8" s="16" t="str"/>
      <x:c r="E8" s="16" t="str"/>
      <x:c r="F8" s="16" t="str"/>
      <x:c r="G8" s="16" t="str"/>
      <x:c r="H8" s="16" t="str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55" t="str">
        <x:v>시트 구성</x:v>
      </x:c>
      <x:c r="B10" s="155"/>
      <x:c r="C10" s="155"/>
      <x:c r="D10" s="155"/>
      <x:c r="E10" s="155"/>
      <x:c r="F10" s="155"/>
      <x:c r="G10" s="155"/>
      <x:c r="H10" s="155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65" t="str">
        <x:v>시트명</x:v>
      </x:c>
      <x:c r="C11" s="65" t="str">
        <x:v>역할</x:v>
      </x:c>
      <x:c r="D11" s="65" t="str">
        <x:v>주요 내용</x:v>
      </x:c>
      <x:c r="E11" s="65" t="str">
        <x:v>검토 포인트</x:v>
      </x:c>
      <x:c r="F11" s="65" t="str">
        <x:v>비고</x:v>
      </x:c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7" t="str">
        <x:v>01_문서정보</x:v>
      </x:c>
      <x:c r="C12" s="17" t="str">
        <x:v>표지/이력</x:v>
      </x:c>
      <x:c r="D12" s="17" t="str">
        <x:v>버전, 작성자, 변경이력</x:v>
      </x:c>
      <x:c r="E12" s="17" t="str">
        <x:v>문서 관리 기준</x:v>
      </x:c>
      <x:c r="F12" s="17" t="str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7" t="str">
        <x:v>02_화면설계_PC</x:v>
      </x:c>
      <x:c r="C13" s="17" t="str">
        <x:v>핵심 화면설계</x:v>
      </x:c>
      <x:c r="D13" s="17" t="str">
        <x:v>PC 기준 와이어프레임 + 콜아웃 + 설명 패널</x:v>
      </x:c>
      <x:c r="E13" s="17" t="str">
        <x:v>화면 구조/정보 우선순위</x:v>
      </x:c>
      <x:c r="F13" s="17" t="str">
        <x:v>주요 검토 시트</x:v>
      </x:c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7" t="str">
        <x:v>03_Description</x:v>
      </x:c>
      <x:c r="C14" s="17" t="str">
        <x:v>상세 설명</x:v>
      </x:c>
      <x:c r="D14" s="17" t="str">
        <x:v>번호별 UI 설명, 데이터/상태/예외</x:v>
      </x:c>
      <x:c r="E14" s="17" t="str">
        <x:v>개발·디자인 전달력</x:v>
      </x:c>
      <x:c r="F14" s="17" t="str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7" t="str">
        <x:v>04_UI요소정의</x:v>
      </x:c>
      <x:c r="C15" s="17" t="str">
        <x:v>컴포넌트 정의</x:v>
      </x:c>
      <x:c r="D15" s="17" t="str">
        <x:v>대시보드 카드·차트·표·결과서 패널</x:v>
      </x:c>
      <x:c r="E15" s="17" t="str">
        <x:v>재사용 가능 여부</x:v>
      </x:c>
      <x:c r="F15" s="17" t="str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7" t="str">
        <x:v>05_데이터_샘플</x:v>
      </x:c>
      <x:c r="C16" s="17" t="str">
        <x:v>샘플 데이터</x:v>
      </x:c>
      <x:c r="D16" s="17" t="str">
        <x:v>훈련생 기본정보, KPI, 역량, 프로젝트, 총점 공식</x:v>
      </x:c>
      <x:c r="E16" s="17" t="str">
        <x:v>수식/연동 기준</x:v>
      </x:c>
      <x:c r="F16" s="17" t="str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7" t="str">
        <x:v>06_검수체크리스트</x:v>
      </x:c>
      <x:c r="C17" s="17" t="str">
        <x:v>마감 점검</x:v>
      </x:c>
      <x:c r="D17" s="17" t="str">
        <x:v>기획/디자인/개발/데이터 검수 항목</x:v>
      </x:c>
      <x:c r="E17" s="17" t="str">
        <x:v>누락 점검</x:v>
      </x:c>
      <x:c r="F17" s="17" t="str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H2"/>
    <x:mergeCell ref="A4:H4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</x:cols>
  <x:sheetData>
    <x:row r="1">
      <x:c r="A1" s="154" t="str">
        <x:v>훈련생 성장 대시보드 / 성적 결과서 화면설계서</x:v>
      </x:c>
      <x:c r="B1" s="154"/>
      <x:c r="C1" s="154"/>
      <x:c r="D1" s="154"/>
      <x:c r="E1" s="154"/>
      <x:c r="F1" s="154"/>
      <x:c r="G1" s="154"/>
      <x:c r="H1" s="154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54"/>
      <x:c r="B2" s="154"/>
      <x:c r="C2" s="154"/>
      <x:c r="D2" s="154"/>
      <x:c r="E2" s="154"/>
      <x:c r="F2" s="154"/>
      <x:c r="G2" s="154"/>
      <x:c r="H2" s="154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34" t="str">
        <x:v>버전(ver)</x:v>
      </x:c>
      <x:c r="B4" s="30" t="str">
        <x:v>1.0</x:v>
      </x:c>
      <x:c r="C4" s="34" t="str">
        <x:v>페이지코드</x:v>
      </x:c>
      <x:c r="D4" s="30" t="str">
        <x:v>SAF-GROWTH-PC</x:v>
      </x:c>
      <x:c r="E4" s="34" t="str">
        <x:v>페이지명</x:v>
      </x:c>
      <x:c r="F4" s="30" t="str">
        <x:v>성장 대시보드 + 성적 결과서</x:v>
      </x:c>
      <x:c r="G4" s="34" t="str">
        <x:v>이용자</x:v>
      </x:c>
      <x:c r="H4" s="30" t="str">
        <x:v>PC</x:v>
      </x:c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34" t="str">
        <x:v>작성일</x:v>
      </x:c>
      <x:c r="B5" s="30" t="str">
        <x:v>2026.07.05</x:v>
      </x:c>
      <x:c r="C5" s="34" t="str">
        <x:v>작성자</x:v>
      </x:c>
      <x:c r="D5" s="30" t="str">
        <x:v>ONO17</x:v>
      </x:c>
      <x:c r="E5" s="34" t="str">
        <x:v>페이지 검토</x:v>
      </x:c>
      <x:c r="F5" s="30" t="str">
        <x:v>시안 기준 설계</x:v>
      </x:c>
      <x:c r="G5" s="34" t="str">
        <x:v>페이지</x:v>
      </x:c>
      <x:c r="H5" s="30" t="str">
        <x:v>1</x:v>
      </x:c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34" t="str">
        <x:v>과정명</x:v>
      </x:c>
      <x:c r="B6" s="30" t="str">
        <x:v>AI 활용 UI/UX 엔지니어링</x:v>
      </x:c>
      <x:c r="C6" s="34" t="str">
        <x:v>훈련기간</x:v>
      </x:c>
      <x:c r="D6" s="30" t="str">
        <x:v>2026.03.02 ~ 2026.06.30</x:v>
      </x:c>
      <x:c r="E6" s="34" t="str">
        <x:v>문서유형</x:v>
      </x:c>
      <x:c r="F6" s="30" t="str">
        <x:v>Google Sheets 화면설계서</x:v>
      </x:c>
      <x:c r="G6" s="34" t="str">
        <x:v>상태</x:v>
      </x:c>
      <x:c r="H6" s="30" t="str">
        <x:v>Draft</x:v>
      </x:c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39" t="str">
        <x:v>변경 이력</x:v>
      </x:c>
      <x:c r="B8" s="139"/>
      <x:c r="C8" s="139"/>
      <x:c r="D8" s="139"/>
      <x:c r="E8" s="139"/>
      <x:c r="F8" s="139"/>
      <x:c r="G8" s="139"/>
      <x:c r="H8" s="139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65" t="str">
        <x:v>버전</x:v>
      </x:c>
      <x:c r="B9" s="65" t="str">
        <x:v>일자</x:v>
      </x:c>
      <x:c r="C9" s="65" t="str">
        <x:v>작성자</x:v>
      </x:c>
      <x:c r="D9" s="65" t="str">
        <x:v>변경구분</x:v>
      </x:c>
      <x:c r="E9" s="65" t="str">
        <x:v>변경내용</x:v>
      </x:c>
      <x:c r="F9" s="65" t="str">
        <x:v>검토자</x:v>
      </x:c>
      <x:c r="G9" s="65" t="str">
        <x:v>승인자</x:v>
      </x:c>
      <x:c r="H9" s="65" t="str">
        <x:v>비고</x:v>
      </x:c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7" t="str">
        <x:v>1.0</x:v>
      </x:c>
      <x:c r="B10" s="17" t="str">
        <x:v>2026.07.05</x:v>
      </x:c>
      <x:c r="C10" s="17" t="str">
        <x:v>ONO17</x:v>
      </x:c>
      <x:c r="D10" s="17" t="str">
        <x:v>신규</x:v>
      </x:c>
      <x:c r="E10" s="17" t="str">
        <x:v>첨부 그래픽 UI 기준 Google Sheets 화면설계서 구성</x:v>
      </x:c>
      <x:c r="F10" s="17" t="str">
        <x:v>온다쌤</x:v>
      </x:c>
      <x:c r="G10" s="17" t="str"/>
      <x:c r="H10" s="17" t="str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39" t="str">
        <x:v>원본 UI 기준 요약</x:v>
      </x:c>
      <x:c r="B15" s="139"/>
      <x:c r="C15" s="139"/>
      <x:c r="D15" s="139"/>
      <x:c r="E15" s="139"/>
      <x:c r="F15" s="139"/>
      <x:c r="G15" s="139"/>
      <x:c r="H15" s="139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58" t="str">
        <x:v>구역</x:v>
      </x:c>
      <x:c r="B16" s="158" t="str">
        <x:v>내용</x:v>
      </x:c>
      <x:c r="C16" s="158" t="str"/>
      <x:c r="D16" s="158" t="str"/>
      <x:c r="E16" s="158" t="str"/>
      <x:c r="F16" s="158" t="str"/>
      <x:c r="G16" s="158" t="str"/>
      <x:c r="H16" s="158" t="str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7" t="str">
        <x:v>좌측 사이드바</x:v>
      </x:c>
      <x:c r="B17" s="17" t="str">
        <x:v>과정명과 훈련기간을 세로형 브랜드 영역으로 표시</x:v>
      </x:c>
      <x:c r="C17" s="17" t="str"/>
      <x:c r="D17" s="17" t="str"/>
      <x:c r="E17" s="17" t="str"/>
      <x:c r="F17" s="17" t="str"/>
      <x:c r="G17" s="17" t="str"/>
      <x:c r="H17" s="17" t="str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7" t="str">
        <x:v>중앙 대시보드</x:v>
      </x:c>
      <x:c r="B18" s="17" t="str">
        <x:v>훈련생 성장 KPI, 개인 프로필, 성장 추이, 역량 평가, 프로젝트 수행결과, 채용 적합도, 강점/보완점/교수자 의견</x:v>
      </x:c>
      <x:c r="C18" s="17" t="str"/>
      <x:c r="D18" s="17" t="str"/>
      <x:c r="E18" s="17" t="str"/>
      <x:c r="F18" s="17" t="str"/>
      <x:c r="G18" s="17" t="str"/>
      <x:c r="H18" s="17" t="str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7" t="str">
        <x:v>우측 결과서</x:v>
      </x:c>
      <x:c r="B19" s="17" t="str">
        <x:v>기업 제출용 성적 결과서 요약, 세부 평가표, 성장이력, 확인자 영역</x:v>
      </x:c>
      <x:c r="C19" s="17" t="str"/>
      <x:c r="D19" s="17" t="str"/>
      <x:c r="E19" s="17" t="str"/>
      <x:c r="F19" s="17" t="str"/>
      <x:c r="G19" s="17" t="str"/>
      <x:c r="H19" s="17" t="str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7" t="str">
        <x:v>핵심 메시지</x:v>
      </x:c>
      <x:c r="B20" s="17" t="str">
        <x:v>훈련생의 성장성과 현장 투입 가능성을 한 화면에서 설명하는 기업 커뮤니케이션용 리포트</x:v>
      </x:c>
      <x:c r="C20" s="17" t="str"/>
      <x:c r="D20" s="17" t="str"/>
      <x:c r="E20" s="17" t="str"/>
      <x:c r="F20" s="17" t="str"/>
      <x:c r="G20" s="17" t="str"/>
      <x:c r="H20" s="17" t="str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7" t="str">
        <x:v>데이터 기준</x:v>
      </x:c>
      <x:c r="B21" s="17" t="str">
        <x:v>샘플 데이터는 05_데이터_샘플 시트에 수식 기반으로 구성</x:v>
      </x:c>
      <x:c r="C21" s="17" t="str"/>
      <x:c r="D21" s="17" t="str"/>
      <x:c r="E21" s="17" t="str"/>
      <x:c r="F21" s="17" t="str"/>
      <x:c r="G21" s="17" t="str"/>
      <x:c r="H21" s="17" t="str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7" t="str">
        <x:v>보안 기준</x:v>
      </x:c>
      <x:c r="B22" s="17" t="str">
        <x:v>실명은 마스킹 표기하고 기업 제출 시 개인정보 노출 범위를 최소화</x:v>
      </x:c>
      <x:c r="C22" s="17" t="str"/>
      <x:c r="D22" s="17" t="str"/>
      <x:c r="E22" s="17" t="str"/>
      <x:c r="F22" s="17" t="str"/>
      <x:c r="G22" s="17" t="str"/>
      <x:c r="H22" s="17" t="str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H2"/>
    <x:mergeCell ref="A8:H8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9" hidden="0" customWidth="1"/>
    <x:col min="21" max="21" width="28" hidden="0" customWidth="1"/>
    <x:col min="22" max="22" width="42" hidden="0" customWidth="1"/>
  </x:cols>
  <x:sheetData>
    <x:row r="1" ht="28" customHeight="1">
      <x:c r="A1" s="160" t="str">
        <x:v>화면설계서 · 훈련생 성장 대시보드(기업 제공용) / PC</x:v>
      </x:c>
      <x:c r="B1" s="160" t="str"/>
      <x:c r="C1" s="160" t="str"/>
      <x:c r="D1" s="160" t="str"/>
      <x:c r="E1" s="160" t="str"/>
      <x:c r="F1" s="160" t="str"/>
      <x:c r="G1" s="160" t="str"/>
      <x:c r="H1" s="160" t="str"/>
      <x:c r="I1" s="160" t="str"/>
      <x:c r="J1" s="160" t="str"/>
      <x:c r="K1" s="160" t="str"/>
      <x:c r="L1" s="160" t="str"/>
      <x:c r="M1" s="160" t="str"/>
      <x:c r="N1" s="160" t="str"/>
      <x:c r="O1" s="160" t="str"/>
      <x:c r="P1" s="160" t="str"/>
      <x:c r="Q1" s="160" t="str"/>
      <x:c r="R1" s="160" t="str"/>
      <x:c r="S1" s="160" t="str"/>
      <x:c r="T1" s="160" t="str"/>
      <x:c r="U1" s="160" t="str"/>
      <x:c r="V1" s="160" t="str"/>
      <x:c r="W1" s="16"/>
      <x:c r="X1" s="16"/>
      <x:c r="Y1" s="16"/>
      <x:c r="Z1" s="16"/>
    </x:row>
    <x:row r="2" ht="22" customHeight="1">
      <x:c r="A2" s="34" t="str">
        <x:v>버전</x:v>
      </x:c>
      <x:c r="B2" s="53" t="str">
        <x:v>1.0</x:v>
      </x:c>
      <x:c r="C2" s="34" t="str">
        <x:v>작성일</x:v>
      </x:c>
      <x:c r="D2" s="53" t="str">
        <x:v>2026.07.05</x:v>
      </x:c>
      <x:c r="E2" s="34" t="str">
        <x:v>작성자</x:v>
      </x:c>
      <x:c r="F2" s="53" t="str">
        <x:v>ONO17</x:v>
      </x:c>
      <x:c r="G2" s="34" t="str">
        <x:v>페이지코드</x:v>
      </x:c>
      <x:c r="H2" s="53" t="str">
        <x:v>SAF-GROWTH-PC</x:v>
      </x:c>
      <x:c r="I2" s="34" t="str">
        <x:v>페이지명</x:v>
      </x:c>
      <x:c r="J2" s="53" t="str">
        <x:v>성장 대시보드</x:v>
      </x:c>
      <x:c r="K2" s="34" t="str">
        <x:v>이용자</x:v>
      </x:c>
      <x:c r="L2" s="53" t="str">
        <x:v>기업/운영자</x:v>
      </x:c>
      <x:c r="M2" s="34" t="str">
        <x:v>디바이스</x:v>
      </x:c>
      <x:c r="N2" s="53" t="str">
        <x:v>PC</x:v>
      </x:c>
      <x:c r="O2" s="34" t="str">
        <x:v>해상도</x:v>
      </x:c>
      <x:c r="P2" s="53" t="str">
        <x:v>Wide</x:v>
      </x:c>
      <x:c r="Q2" s="34" t="str">
        <x:v>상태</x:v>
      </x:c>
      <x:c r="R2" s="53" t="str">
        <x:v>Draft</x:v>
      </x:c>
      <x:c r="S2" s="53" t="str"/>
      <x:c r="T2" s="53" t="str"/>
      <x:c r="U2" s="53" t="str"/>
      <x:c r="V2" s="53" t="str"/>
      <x:c r="W2" s="16"/>
      <x:c r="X2" s="16"/>
      <x:c r="Y2" s="16"/>
      <x:c r="Z2" s="16"/>
    </x:row>
    <x:row r="3" ht="22" customHeight="1">
      <x:c r="A3" s="34" t="str">
        <x:v>문서범위</x:v>
      </x:c>
      <x:c r="B3" s="53" t="str">
        <x:v>화면 구조</x:v>
      </x:c>
      <x:c r="C3" s="34" t="str">
        <x:v>데이터</x:v>
      </x:c>
      <x:c r="D3" s="53" t="str">
        <x:v>샘플</x:v>
      </x:c>
      <x:c r="E3" s="34" t="str">
        <x:v>연동</x:v>
      </x:c>
      <x:c r="F3" s="53" t="str">
        <x:v>정의</x:v>
      </x:c>
      <x:c r="G3" s="34" t="str">
        <x:v>출력</x:v>
      </x:c>
      <x:c r="H3" s="53" t="str">
        <x:v>성적결과서</x:v>
      </x:c>
      <x:c r="I3" s="34" t="str">
        <x:v>개인정보</x:v>
      </x:c>
      <x:c r="J3" s="53" t="str">
        <x:v>마스킹</x:v>
      </x:c>
      <x:c r="K3" s="34" t="str">
        <x:v>검토</x:v>
      </x:c>
      <x:c r="L3" s="53" t="str">
        <x:v>필요</x:v>
      </x:c>
      <x:c r="M3" s="34" t="str"/>
      <x:c r="N3" s="53" t="str"/>
      <x:c r="O3" s="34" t="str"/>
      <x:c r="P3" s="53" t="str"/>
      <x:c r="Q3" s="34" t="str"/>
      <x:c r="R3" s="53" t="str"/>
      <x:c r="S3" s="53" t="str"/>
      <x:c r="T3" s="53" t="str"/>
      <x:c r="U3" s="53" t="str"/>
      <x:c r="V3" s="53" t="str"/>
      <x:c r="W3" s="16"/>
      <x:c r="X3" s="16"/>
      <x:c r="Y3" s="16"/>
      <x:c r="Z3" s="16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 ht="22" customHeight="1">
      <x:c r="A5" s="161" t="str">
        <x:v>PC 화면 와이어프레임</x:v>
      </x:c>
      <x:c r="B5" s="161"/>
      <x:c r="C5" s="161"/>
      <x:c r="D5" s="161"/>
      <x:c r="E5" s="161"/>
      <x:c r="F5" s="161"/>
      <x:c r="G5" s="161"/>
      <x:c r="H5" s="161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58" t="str">
        <x:v>Description</x:v>
      </x:c>
      <x:c r="U5" s="158"/>
      <x:c r="V5" s="158"/>
      <x:c r="W5" s="16"/>
      <x:c r="X5" s="16"/>
      <x:c r="Y5" s="16"/>
      <x:c r="Z5" s="16"/>
    </x:row>
    <x:row r="6" ht="22" customHeight="1">
      <x:c r="A6" s="66" t="str">
        <x:v>① 좌측 과정 브랜딩
AI 활용 출판·광고콘텐츠 제작 전문가 성장과정
훈련기간: 2026-02-10 ~ 2026-08-21</x:v>
      </x:c>
      <x:c r="B6" s="66"/>
      <x:c r="C6" s="176" t="str">
        <x:v>② 페이지 헤더
GREEN COMPUTER ACADEMY
훈련생 성장 대시보드 (기업 제공용)
AI 활용 UI/UX 엔지니어링 과정 · 2026.03.02~2026.06.30(16주)</x:v>
      </x:c>
      <x:c r="D6" s="176"/>
      <x:c r="E6" s="176"/>
      <x:c r="F6" s="176"/>
      <x:c r="G6" s="176"/>
      <x:c r="H6" s="176"/>
      <x:c r="I6" s="176"/>
      <x:c r="J6" s="176"/>
      <x:c r="K6" s="176"/>
      <x:c r="L6" s="176"/>
      <x:c r="M6" s="176"/>
      <x:c r="N6" s="176"/>
      <x:c r="O6" s="178" t="str">
        <x:v>⑪ 훈련생 성적 결과서
(기업 제출용)
훈련생 정보 / 평가 결과 요약 / 능력단위별 평가 결과 / 성장 이력 / 확인자
※ 기업 제출 시 개인정보 마스킹 처리</x:v>
      </x:c>
      <x:c r="P6" s="178"/>
      <x:c r="Q6" s="178"/>
      <x:c r="R6" s="178"/>
      <x:c r="S6" s="178"/>
      <x:c r="T6" s="65" t="str">
        <x:v>No</x:v>
      </x:c>
      <x:c r="U6" s="65" t="str">
        <x:v>영역</x:v>
      </x:c>
      <x:c r="V6" s="65" t="str">
        <x:v>설명</x:v>
      </x:c>
      <x:c r="W6" s="16"/>
      <x:c r="X6" s="16"/>
      <x:c r="Y6" s="16"/>
      <x:c r="Z6" s="16"/>
    </x:row>
    <x:row r="7" ht="22" customHeight="1">
      <x:c r="A7" s="66"/>
      <x:c r="B7" s="66"/>
      <x:c r="C7" s="176"/>
      <x:c r="D7" s="176"/>
      <x:c r="E7" s="176"/>
      <x:c r="F7" s="176"/>
      <x:c r="G7" s="176"/>
      <x:c r="H7" s="176"/>
      <x:c r="I7" s="176"/>
      <x:c r="J7" s="176"/>
      <x:c r="K7" s="176"/>
      <x:c r="L7" s="176"/>
      <x:c r="M7" s="176"/>
      <x:c r="N7" s="176"/>
      <x:c r="O7" s="178"/>
      <x:c r="P7" s="178"/>
      <x:c r="Q7" s="178"/>
      <x:c r="R7" s="178"/>
      <x:c r="S7" s="178"/>
      <x:c r="T7" s="116" t="n">
        <x:v>1</x:v>
      </x:c>
      <x:c r="U7" s="120" t="str">
        <x:v>좌측 과정 브랜딩</x:v>
      </x:c>
      <x:c r="V7" s="17" t="str">
        <x:v>과정명과 훈련기간을 세로형 브랜드 영역으로 고정 표시한다.</x:v>
      </x:c>
      <x:c r="W7" s="16"/>
      <x:c r="X7" s="16"/>
      <x:c r="Y7" s="16"/>
      <x:c r="Z7" s="16"/>
    </x:row>
    <x:row r="8" ht="22" customHeight="1">
      <x:c r="A8" s="66"/>
      <x:c r="B8" s="66"/>
      <x:c r="C8" s="176"/>
      <x:c r="D8" s="176"/>
      <x:c r="E8" s="176"/>
      <x:c r="F8" s="176"/>
      <x:c r="G8" s="176"/>
      <x:c r="H8" s="176"/>
      <x:c r="I8" s="176"/>
      <x:c r="J8" s="176"/>
      <x:c r="K8" s="176"/>
      <x:c r="L8" s="176"/>
      <x:c r="M8" s="176"/>
      <x:c r="N8" s="176"/>
      <x:c r="O8" s="178"/>
      <x:c r="P8" s="178"/>
      <x:c r="Q8" s="178"/>
      <x:c r="R8" s="178"/>
      <x:c r="S8" s="178"/>
      <x:c r="T8" s="116" t="n">
        <x:v>2</x:v>
      </x:c>
      <x:c r="U8" s="120" t="str">
        <x:v>페이지 헤더</x:v>
      </x:c>
      <x:c r="V8" s="17" t="str">
        <x:v>기관 로고, 화면명, 과정명, 기간을 한 줄의 기준 정보로 제공한다.</x:v>
      </x:c>
      <x:c r="W8" s="16"/>
      <x:c r="X8" s="16"/>
      <x:c r="Y8" s="16"/>
      <x:c r="Z8" s="16"/>
    </x:row>
    <x:row r="9" ht="22" customHeight="1">
      <x:c r="A9" s="66"/>
      <x:c r="B9" s="66"/>
      <x:c r="C9" s="178" t="str">
        <x:v>③ 출석률
98%
(156/160일)</x:v>
      </x:c>
      <x:c r="D9" s="178"/>
      <x:c r="E9" s="178" t="str">
        <x:v>④ 최종평가 평균
87점
(100점 만점)</x:v>
      </x:c>
      <x:c r="F9" s="178"/>
      <x:c r="G9" s="178" t="str">
        <x:v>⑤ 성장률
+35점
(사전대비)</x:v>
      </x:c>
      <x:c r="H9" s="178"/>
      <x:c r="I9" s="178" t="str">
        <x:v>⑥ 프로젝트 참여율
100%
(3/3)</x:v>
      </x:c>
      <x:c r="J9" s="178"/>
      <x:c r="K9" s="178" t="str">
        <x:v>⑦ 협업등급
A
(우수)</x:v>
      </x:c>
      <x:c r="L9" s="178"/>
      <x:c r="M9" s="178"/>
      <x:c r="N9" s="178"/>
      <x:c r="O9" s="178"/>
      <x:c r="P9" s="178"/>
      <x:c r="Q9" s="178"/>
      <x:c r="R9" s="178"/>
      <x:c r="S9" s="178"/>
      <x:c r="T9" s="116" t="n">
        <x:v>3</x:v>
      </x:c>
      <x:c r="U9" s="120" t="str">
        <x:v>출석률 KPI</x:v>
      </x:c>
      <x:c r="V9" s="17" t="str">
        <x:v>출석률과 출석일/총훈련일을 함께 표시한다.</x:v>
      </x:c>
      <x:c r="W9" s="16"/>
      <x:c r="X9" s="16"/>
      <x:c r="Y9" s="16"/>
      <x:c r="Z9" s="16"/>
    </x:row>
    <x:row r="10" ht="22" customHeight="1">
      <x:c r="A10" s="66"/>
      <x:c r="B10" s="66"/>
      <x:c r="C10" s="178"/>
      <x:c r="D10" s="178"/>
      <x:c r="E10" s="178"/>
      <x:c r="F10" s="178"/>
      <x:c r="G10" s="178"/>
      <x:c r="H10" s="178"/>
      <x:c r="I10" s="178"/>
      <x:c r="J10" s="178"/>
      <x:c r="K10" s="178"/>
      <x:c r="L10" s="178"/>
      <x:c r="M10" s="178"/>
      <x:c r="N10" s="178"/>
      <x:c r="O10" s="178"/>
      <x:c r="P10" s="178"/>
      <x:c r="Q10" s="178"/>
      <x:c r="R10" s="178"/>
      <x:c r="S10" s="178"/>
      <x:c r="T10" s="116" t="n">
        <x:v>4</x:v>
      </x:c>
      <x:c r="U10" s="120" t="str">
        <x:v>최종평가 KPI</x:v>
      </x:c>
      <x:c r="V10" s="17" t="str">
        <x:v>100점 만점 기준 최종평가 평균 점수를 강조한다.</x:v>
      </x:c>
      <x:c r="W10" s="16"/>
      <x:c r="X10" s="16"/>
      <x:c r="Y10" s="16"/>
      <x:c r="Z10" s="16"/>
    </x:row>
    <x:row r="11" ht="22" customHeight="1">
      <x:c r="A11" s="66"/>
      <x:c r="B11" s="66"/>
      <x:c r="C11" s="178"/>
      <x:c r="D11" s="178"/>
      <x:c r="E11" s="178"/>
      <x:c r="F11" s="178"/>
      <x:c r="G11" s="178"/>
      <x:c r="H11" s="178"/>
      <x:c r="I11" s="178"/>
      <x:c r="J11" s="178"/>
      <x:c r="K11" s="178"/>
      <x:c r="L11" s="178"/>
      <x:c r="M11" s="178"/>
      <x:c r="N11" s="178"/>
      <x:c r="O11" s="178"/>
      <x:c r="P11" s="178"/>
      <x:c r="Q11" s="178"/>
      <x:c r="R11" s="178"/>
      <x:c r="S11" s="178"/>
      <x:c r="T11" s="116" t="n">
        <x:v>5</x:v>
      </x:c>
      <x:c r="U11" s="120" t="str">
        <x:v>성장률 KPI</x:v>
      </x:c>
      <x:c r="V11" s="17" t="str">
        <x:v>사전진단 대비 최종평가 향상 점수와 성장률을 표시한다.</x:v>
      </x:c>
      <x:c r="W11" s="16"/>
      <x:c r="X11" s="16"/>
      <x:c r="Y11" s="16"/>
      <x:c r="Z11" s="16"/>
    </x:row>
    <x:row r="12" ht="22" customHeight="1">
      <x:c r="A12" s="66"/>
      <x:c r="B12" s="66"/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16" t="n">
        <x:v>6</x:v>
      </x:c>
      <x:c r="U12" s="120" t="str">
        <x:v>프로젝트 참여율</x:v>
      </x:c>
      <x:c r="V12" s="17" t="str">
        <x:v>수행 프로젝트 수와 전체 프로젝트 수를 표시한다.</x:v>
      </x:c>
      <x:c r="W12" s="16"/>
      <x:c r="X12" s="16"/>
      <x:c r="Y12" s="16"/>
      <x:c r="Z12" s="16"/>
    </x:row>
    <x:row r="13" ht="22" customHeight="1">
      <x:c r="A13" s="66"/>
      <x:c r="B13" s="66"/>
      <x:c r="C13" s="180" t="str">
        <x:v>⑧ 훈련생 프로필
김*민 (KIM*MIN)
ID: SAF-2026-015
성취유형: 성장 우수형
소속기업: ㈜ABC소프트
직무목표: UI/UX 디자이너
[QR] 포트폴리오 바로가기</x:v>
      </x:c>
      <x:c r="D13" s="180"/>
      <x:c r="E13" s="180"/>
      <x:c r="F13" s="180" t="str">
        <x:v>⑨ 성장 추이 (Growth Trend)
사전진단 52 → 중간평가 71 → 최종평가 87
+35점 향상 (+67%)
[Line Chart 영역]</x:v>
      </x:c>
      <x:c r="G13" s="180"/>
      <x:c r="H13" s="180"/>
      <x:c r="I13" s="180"/>
      <x:c r="J13" s="180"/>
      <x:c r="K13" s="180" t="str">
        <x:v>⑩ 역량 평가 (6대 역량)
UI 설계 / UX 기획·분석 / AI 활용 / 프로젝트 이해 / 협업 / 문서화
[Radar Chart 영역]</x:v>
      </x:c>
      <x:c r="L13" s="180"/>
      <x:c r="M13" s="180"/>
      <x:c r="N13" s="180"/>
      <x:c r="O13" s="178"/>
      <x:c r="P13" s="178"/>
      <x:c r="Q13" s="178"/>
      <x:c r="R13" s="178"/>
      <x:c r="S13" s="178"/>
      <x:c r="T13" s="116" t="n">
        <x:v>7</x:v>
      </x:c>
      <x:c r="U13" s="120" t="str">
        <x:v>협업등급</x:v>
      </x:c>
      <x:c r="V13" s="17" t="str">
        <x:v>협업 역량을 기업이 이해하기 쉬운 등급으로 요약한다.</x:v>
      </x:c>
      <x:c r="W13" s="16"/>
      <x:c r="X13" s="16"/>
      <x:c r="Y13" s="16"/>
      <x:c r="Z13" s="16"/>
    </x:row>
    <x:row r="14" ht="22" customHeight="1">
      <x:c r="A14" s="66"/>
      <x:c r="B14" s="66"/>
      <x:c r="C14" s="180"/>
      <x:c r="D14" s="180"/>
      <x:c r="E14" s="180"/>
      <x:c r="F14" s="180"/>
      <x:c r="G14" s="180"/>
      <x:c r="H14" s="180"/>
      <x:c r="I14" s="180"/>
      <x:c r="J14" s="180"/>
      <x:c r="K14" s="180"/>
      <x:c r="L14" s="180"/>
      <x:c r="M14" s="180"/>
      <x:c r="N14" s="180"/>
      <x:c r="O14" s="178"/>
      <x:c r="P14" s="178"/>
      <x:c r="Q14" s="178"/>
      <x:c r="R14" s="178"/>
      <x:c r="S14" s="178"/>
      <x:c r="T14" s="116" t="n">
        <x:v>8</x:v>
      </x:c>
      <x:c r="U14" s="120" t="str">
        <x:v>훈련생 프로필</x:v>
      </x:c>
      <x:c r="V14" s="17" t="str">
        <x:v>실명 마스킹, ID, 성취유형, 기업, 직무목표, QR 링크를 제공한다.</x:v>
      </x:c>
      <x:c r="W14" s="16"/>
      <x:c r="X14" s="16"/>
      <x:c r="Y14" s="16"/>
      <x:c r="Z14" s="16"/>
    </x:row>
    <x:row r="15" ht="22" customHeight="1">
      <x:c r="A15" s="66"/>
      <x:c r="B15" s="66"/>
      <x:c r="C15" s="180"/>
      <x:c r="D15" s="180"/>
      <x:c r="E15" s="180"/>
      <x:c r="F15" s="180"/>
      <x:c r="G15" s="180"/>
      <x:c r="H15" s="180"/>
      <x:c r="I15" s="180"/>
      <x:c r="J15" s="180"/>
      <x:c r="K15" s="180"/>
      <x:c r="L15" s="180"/>
      <x:c r="M15" s="180"/>
      <x:c r="N15" s="180"/>
      <x:c r="O15" s="178"/>
      <x:c r="P15" s="178"/>
      <x:c r="Q15" s="178"/>
      <x:c r="R15" s="178"/>
      <x:c r="S15" s="178"/>
      <x:c r="T15" s="116" t="n">
        <x:v>9</x:v>
      </x:c>
      <x:c r="U15" s="120" t="str">
        <x:v>성장 추이</x:v>
      </x:c>
      <x:c r="V15" s="17" t="str">
        <x:v>사전·중간·최종 평가 변화를 선형 차트로 표현한다.</x:v>
      </x:c>
      <x:c r="W15" s="16"/>
      <x:c r="X15" s="16"/>
      <x:c r="Y15" s="16"/>
      <x:c r="Z15" s="16"/>
    </x:row>
    <x:row r="16" ht="22" customHeight="1">
      <x:c r="A16" s="66"/>
      <x:c r="B16" s="66"/>
      <x:c r="C16" s="180"/>
      <x:c r="D16" s="180"/>
      <x:c r="E16" s="180"/>
      <x:c r="F16" s="180"/>
      <x:c r="G16" s="180"/>
      <x:c r="H16" s="180"/>
      <x:c r="I16" s="180"/>
      <x:c r="J16" s="180"/>
      <x:c r="K16" s="180"/>
      <x:c r="L16" s="180"/>
      <x:c r="M16" s="180"/>
      <x:c r="N16" s="180"/>
      <x:c r="O16" s="178"/>
      <x:c r="P16" s="178"/>
      <x:c r="Q16" s="178"/>
      <x:c r="R16" s="178"/>
      <x:c r="S16" s="178"/>
      <x:c r="T16" s="116" t="n">
        <x:v>10</x:v>
      </x:c>
      <x:c r="U16" s="120" t="str">
        <x:v>역량 평가</x:v>
      </x:c>
      <x:c r="V16" s="17" t="str">
        <x:v>6대 역량의 균형을 레이더 차트로 표현한다.</x:v>
      </x:c>
      <x:c r="W16" s="16"/>
      <x:c r="X16" s="16"/>
      <x:c r="Y16" s="16"/>
      <x:c r="Z16" s="16"/>
    </x:row>
    <x:row r="17" ht="22" customHeight="1">
      <x:c r="A17" s="66"/>
      <x:c r="B17" s="66"/>
      <x:c r="C17" s="180"/>
      <x:c r="D17" s="180"/>
      <x:c r="E17" s="180"/>
      <x:c r="F17" s="180"/>
      <x:c r="G17" s="180"/>
      <x:c r="H17" s="180"/>
      <x:c r="I17" s="180"/>
      <x:c r="J17" s="180"/>
      <x:c r="K17" s="180"/>
      <x:c r="L17" s="180"/>
      <x:c r="M17" s="180"/>
      <x:c r="N17" s="180"/>
      <x:c r="O17" s="178"/>
      <x:c r="P17" s="178"/>
      <x:c r="Q17" s="178"/>
      <x:c r="R17" s="178"/>
      <x:c r="S17" s="178"/>
      <x:c r="T17" s="116" t="n">
        <x:v>11</x:v>
      </x:c>
      <x:c r="U17" s="120" t="str">
        <x:v>성적 결과서</x:v>
      </x:c>
      <x:c r="V17" s="17" t="str">
        <x:v>기업 제출용 단일 요약 리포트 영역. 평가표와 성장이력을 포함한다.</x:v>
      </x:c>
      <x:c r="W17" s="16"/>
      <x:c r="X17" s="16"/>
      <x:c r="Y17" s="16"/>
      <x:c r="Z17" s="16"/>
    </x:row>
    <x:row r="18" ht="22" customHeight="1">
      <x:c r="A18" s="66"/>
      <x:c r="B18" s="66"/>
      <x:c r="C18" s="180"/>
      <x:c r="D18" s="180"/>
      <x:c r="E18" s="180"/>
      <x:c r="F18" s="180"/>
      <x:c r="G18" s="180"/>
      <x:c r="H18" s="180"/>
      <x:c r="I18" s="180"/>
      <x:c r="J18" s="180"/>
      <x:c r="K18" s="180"/>
      <x:c r="L18" s="180"/>
      <x:c r="M18" s="180"/>
      <x:c r="N18" s="180"/>
      <x:c r="O18" s="178"/>
      <x:c r="P18" s="178"/>
      <x:c r="Q18" s="178"/>
      <x:c r="R18" s="178"/>
      <x:c r="S18" s="178"/>
      <x:c r="T18" s="116" t="n">
        <x:v>12</x:v>
      </x:c>
      <x:c r="U18" s="120" t="str">
        <x:v>능력단위 점수</x:v>
      </x:c>
      <x:c r="V18" s="17" t="str">
        <x:v>능력단위별 점수를 막대형으로 비교한다.</x:v>
      </x:c>
      <x:c r="W18" s="16"/>
      <x:c r="X18" s="16"/>
      <x:c r="Y18" s="16"/>
      <x:c r="Z18" s="16"/>
    </x:row>
    <x:row r="19" ht="22" customHeight="1">
      <x:c r="A19" s="66"/>
      <x:c r="B19" s="66"/>
      <x:c r="C19" s="180"/>
      <x:c r="D19" s="180"/>
      <x:c r="E19" s="180"/>
      <x:c r="F19" s="180"/>
      <x:c r="G19" s="180"/>
      <x:c r="H19" s="180"/>
      <x:c r="I19" s="180"/>
      <x:c r="J19" s="180"/>
      <x:c r="K19" s="180"/>
      <x:c r="L19" s="180"/>
      <x:c r="M19" s="180"/>
      <x:c r="N19" s="180"/>
      <x:c r="O19" s="178"/>
      <x:c r="P19" s="178"/>
      <x:c r="Q19" s="178"/>
      <x:c r="R19" s="178"/>
      <x:c r="S19" s="178"/>
      <x:c r="T19" s="116" t="n">
        <x:v>13</x:v>
      </x:c>
      <x:c r="U19" s="120" t="str">
        <x:v>프로젝트 결과</x:v>
      </x:c>
      <x:c r="V19" s="17" t="str">
        <x:v>프로젝트명, 역할, 수행기간, 평가등급을 표 형태로 제공한다.</x:v>
      </x:c>
      <x:c r="W19" s="16"/>
      <x:c r="X19" s="16"/>
      <x:c r="Y19" s="16"/>
      <x:c r="Z19" s="16"/>
    </x:row>
    <x:row r="20" ht="22" customHeight="1">
      <x:c r="A20" s="66"/>
      <x:c r="B20" s="66"/>
      <x:c r="C20" s="180"/>
      <x:c r="D20" s="180"/>
      <x:c r="E20" s="180"/>
      <x:c r="F20" s="180"/>
      <x:c r="G20" s="180"/>
      <x:c r="H20" s="180"/>
      <x:c r="I20" s="180"/>
      <x:c r="J20" s="180"/>
      <x:c r="K20" s="180"/>
      <x:c r="L20" s="180"/>
      <x:c r="M20" s="180"/>
      <x:c r="N20" s="180"/>
      <x:c r="O20" s="178"/>
      <x:c r="P20" s="178"/>
      <x:c r="Q20" s="178"/>
      <x:c r="R20" s="178"/>
      <x:c r="S20" s="178"/>
      <x:c r="T20" s="116" t="n">
        <x:v>14</x:v>
      </x:c>
      <x:c r="U20" s="120" t="str">
        <x:v>채용 적합도</x:v>
      </x:c>
      <x:c r="V20" s="17" t="str">
        <x:v>현장 투입 가능성을 게이지와 보조 지표로 표시한다.</x:v>
      </x:c>
      <x:c r="W20" s="16"/>
      <x:c r="X20" s="16"/>
      <x:c r="Y20" s="16"/>
      <x:c r="Z20" s="16"/>
    </x:row>
    <x:row r="21" ht="22" customHeight="1">
      <x:c r="A21" s="66"/>
      <x:c r="B21" s="66"/>
      <x:c r="C21" s="180"/>
      <x:c r="D21" s="180"/>
      <x:c r="E21" s="180"/>
      <x:c r="F21" s="180"/>
      <x:c r="G21" s="180"/>
      <x:c r="H21" s="180"/>
      <x:c r="I21" s="180"/>
      <x:c r="J21" s="180"/>
      <x:c r="K21" s="180"/>
      <x:c r="L21" s="180"/>
      <x:c r="M21" s="180"/>
      <x:c r="N21" s="180"/>
      <x:c r="O21" s="178"/>
      <x:c r="P21" s="178"/>
      <x:c r="Q21" s="178"/>
      <x:c r="R21" s="178"/>
      <x:c r="S21" s="178"/>
      <x:c r="T21" s="116" t="n">
        <x:v>15</x:v>
      </x:c>
      <x:c r="U21" s="120" t="str">
        <x:v>강점</x:v>
      </x:c>
      <x:c r="V21" s="17" t="str">
        <x:v>기업에 어필할 수 있는 업무 강점을 bullet로 정리한다.</x:v>
      </x:c>
      <x:c r="W21" s="16"/>
      <x:c r="X21" s="16"/>
      <x:c r="Y21" s="16"/>
      <x:c r="Z21" s="16"/>
    </x:row>
    <x:row r="22" ht="22" customHeight="1">
      <x:c r="A22" s="66"/>
      <x:c r="B22" s="66"/>
      <x:c r="C22" s="180" t="str">
        <x:v>⑫ 능력단위별 점수
UI 설계 92 / UX 기획·분석 84 / AI 활용 90
프로젝트 이해 82 / 협업 95 / 문서화 78
[Horizontal Bar 영역]</x:v>
      </x:c>
      <x:c r="D22" s="180"/>
      <x:c r="E22" s="180"/>
      <x:c r="F22" s="180"/>
      <x:c r="G22" s="180" t="str">
        <x:v>⑬ 프로젝트 수행 결과
프로젝트명 / 역할 / 수행기간 / 평가등급
서비스 기획 및 UI 설계 · AI 챗봇 UI/UX 개발 · 포트폴리오 웹사이트</x:v>
      </x:c>
      <x:c r="H22" s="180"/>
      <x:c r="I22" s="180"/>
      <x:c r="J22" s="180"/>
      <x:c r="K22" s="180" t="str">
        <x:v>⑭ 채용 적합도 (Recruitment Fit)
94% 현장 투입 가능성
실무 이해 92% / 학습 완성도 95% / 협업 적응력 92% / 업무 태도 95%
[Gauge 영역]</x:v>
      </x:c>
      <x:c r="L22" s="180"/>
      <x:c r="M22" s="180"/>
      <x:c r="N22" s="180"/>
      <x:c r="O22" s="178"/>
      <x:c r="P22" s="178"/>
      <x:c r="Q22" s="178"/>
      <x:c r="R22" s="178"/>
      <x:c r="S22" s="178"/>
      <x:c r="T22" s="116" t="n">
        <x:v>16</x:v>
      </x:c>
      <x:c r="U22" s="120" t="str">
        <x:v>보완점</x:v>
      </x:c>
      <x:c r="V22" s="17" t="str">
        <x:v>추가 학습·훈련이 필요한 영역을 개선 관점으로 정리한다.</x:v>
      </x:c>
      <x:c r="W22" s="16"/>
      <x:c r="X22" s="16"/>
      <x:c r="Y22" s="16"/>
      <x:c r="Z22" s="16"/>
    </x:row>
    <x:row r="23" ht="22" customHeight="1">
      <x:c r="A23" s="66"/>
      <x:c r="B23" s="66"/>
      <x:c r="C23" s="180"/>
      <x:c r="D23" s="180"/>
      <x:c r="E23" s="180"/>
      <x:c r="F23" s="180"/>
      <x:c r="G23" s="180"/>
      <x:c r="H23" s="180"/>
      <x:c r="I23" s="180"/>
      <x:c r="J23" s="180"/>
      <x:c r="K23" s="180"/>
      <x:c r="L23" s="180"/>
      <x:c r="M23" s="180"/>
      <x:c r="N23" s="180"/>
      <x:c r="O23" s="178"/>
      <x:c r="P23" s="178"/>
      <x:c r="Q23" s="178"/>
      <x:c r="R23" s="178"/>
      <x:c r="S23" s="178"/>
      <x:c r="T23" s="116" t="n">
        <x:v>17</x:v>
      </x:c>
      <x:c r="U23" s="120" t="str">
        <x:v>교수자 의견</x:v>
      </x:c>
      <x:c r="V23" s="17" t="str">
        <x:v>기업 커뮤니케이션용 종합 의견과 지도교수 확인 영역을 표시한다.</x:v>
      </x:c>
      <x:c r="W23" s="16"/>
      <x:c r="X23" s="16"/>
      <x:c r="Y23" s="16"/>
      <x:c r="Z23" s="16"/>
    </x:row>
    <x:row r="24" ht="22" customHeight="1">
      <x:c r="A24" s="66"/>
      <x:c r="B24" s="66"/>
      <x:c r="C24" s="180"/>
      <x:c r="D24" s="180"/>
      <x:c r="E24" s="180"/>
      <x:c r="F24" s="180"/>
      <x:c r="G24" s="180"/>
      <x:c r="H24" s="180"/>
      <x:c r="I24" s="180"/>
      <x:c r="J24" s="180"/>
      <x:c r="K24" s="180"/>
      <x:c r="L24" s="180"/>
      <x:c r="M24" s="180"/>
      <x:c r="N24" s="180"/>
      <x:c r="O24" s="178"/>
      <x:c r="P24" s="178"/>
      <x:c r="Q24" s="178"/>
      <x:c r="R24" s="178"/>
      <x:c r="S24" s="178"/>
      <x:c r="T24" s="16"/>
      <x:c r="U24" s="16"/>
      <x:c r="V24" s="16"/>
      <x:c r="W24" s="16"/>
      <x:c r="X24" s="16"/>
      <x:c r="Y24" s="16"/>
      <x:c r="Z24" s="16"/>
    </x:row>
    <x:row r="25" ht="22" customHeight="1">
      <x:c r="A25" s="66"/>
      <x:c r="B25" s="66"/>
      <x:c r="C25" s="180"/>
      <x:c r="D25" s="180"/>
      <x:c r="E25" s="180"/>
      <x:c r="F25" s="180"/>
      <x:c r="G25" s="180"/>
      <x:c r="H25" s="180"/>
      <x:c r="I25" s="180"/>
      <x:c r="J25" s="180"/>
      <x:c r="K25" s="180"/>
      <x:c r="L25" s="180"/>
      <x:c r="M25" s="180"/>
      <x:c r="N25" s="180"/>
      <x:c r="O25" s="178"/>
      <x:c r="P25" s="178"/>
      <x:c r="Q25" s="178"/>
      <x:c r="R25" s="178"/>
      <x:c r="S25" s="178"/>
      <x:c r="T25" s="16"/>
      <x:c r="U25" s="16"/>
      <x:c r="V25" s="16"/>
      <x:c r="W25" s="16"/>
      <x:c r="X25" s="16"/>
      <x:c r="Y25" s="16"/>
      <x:c r="Z25" s="16"/>
    </x:row>
    <x:row r="26" ht="22" customHeight="1">
      <x:c r="A26" s="66"/>
      <x:c r="B26" s="66"/>
      <x:c r="C26" s="180"/>
      <x:c r="D26" s="180"/>
      <x:c r="E26" s="180"/>
      <x:c r="F26" s="180"/>
      <x:c r="G26" s="180"/>
      <x:c r="H26" s="180"/>
      <x:c r="I26" s="180"/>
      <x:c r="J26" s="180"/>
      <x:c r="K26" s="180"/>
      <x:c r="L26" s="180"/>
      <x:c r="M26" s="180"/>
      <x:c r="N26" s="180"/>
      <x:c r="O26" s="178"/>
      <x:c r="P26" s="178"/>
      <x:c r="Q26" s="178"/>
      <x:c r="R26" s="178"/>
      <x:c r="S26" s="178"/>
      <x:c r="T26" s="16"/>
      <x:c r="U26" s="16"/>
      <x:c r="V26" s="16"/>
      <x:c r="W26" s="16"/>
      <x:c r="X26" s="16"/>
      <x:c r="Y26" s="16"/>
      <x:c r="Z26" s="16"/>
    </x:row>
    <x:row r="27" ht="22" customHeight="1">
      <x:c r="A27" s="66"/>
      <x:c r="B27" s="66"/>
      <x:c r="C27" s="180"/>
      <x:c r="D27" s="180"/>
      <x:c r="E27" s="180"/>
      <x:c r="F27" s="180"/>
      <x:c r="G27" s="180"/>
      <x:c r="H27" s="180"/>
      <x:c r="I27" s="180"/>
      <x:c r="J27" s="180"/>
      <x:c r="K27" s="180"/>
      <x:c r="L27" s="180"/>
      <x:c r="M27" s="180"/>
      <x:c r="N27" s="180"/>
      <x:c r="O27" s="178"/>
      <x:c r="P27" s="178"/>
      <x:c r="Q27" s="178"/>
      <x:c r="R27" s="178"/>
      <x:c r="S27" s="178"/>
      <x:c r="T27" s="16"/>
      <x:c r="U27" s="16"/>
      <x:c r="V27" s="16"/>
      <x:c r="W27" s="16"/>
      <x:c r="X27" s="16"/>
      <x:c r="Y27" s="16"/>
      <x:c r="Z27" s="16"/>
    </x:row>
    <x:row r="28" ht="22" customHeight="1">
      <x:c r="A28" s="66"/>
      <x:c r="B28" s="66"/>
      <x:c r="C28" s="180"/>
      <x:c r="D28" s="180"/>
      <x:c r="E28" s="180"/>
      <x:c r="F28" s="180"/>
      <x:c r="G28" s="180"/>
      <x:c r="H28" s="180"/>
      <x:c r="I28" s="180"/>
      <x:c r="J28" s="180"/>
      <x:c r="K28" s="180"/>
      <x:c r="L28" s="180"/>
      <x:c r="M28" s="180"/>
      <x:c r="N28" s="180"/>
      <x:c r="O28" s="178"/>
      <x:c r="P28" s="178"/>
      <x:c r="Q28" s="178"/>
      <x:c r="R28" s="178"/>
      <x:c r="S28" s="178"/>
      <x:c r="T28" s="16"/>
      <x:c r="U28" s="16"/>
      <x:c r="V28" s="16"/>
      <x:c r="W28" s="16"/>
      <x:c r="X28" s="16"/>
      <x:c r="Y28" s="16"/>
      <x:c r="Z28" s="16"/>
    </x:row>
    <x:row r="29" ht="22" customHeight="1">
      <x:c r="A29" s="66"/>
      <x:c r="B29" s="66"/>
      <x:c r="C29" s="180"/>
      <x:c r="D29" s="180"/>
      <x:c r="E29" s="180"/>
      <x:c r="F29" s="180"/>
      <x:c r="G29" s="180"/>
      <x:c r="H29" s="180"/>
      <x:c r="I29" s="180"/>
      <x:c r="J29" s="180"/>
      <x:c r="K29" s="180"/>
      <x:c r="L29" s="180"/>
      <x:c r="M29" s="180"/>
      <x:c r="N29" s="180"/>
      <x:c r="O29" s="178"/>
      <x:c r="P29" s="178"/>
      <x:c r="Q29" s="178"/>
      <x:c r="R29" s="178"/>
      <x:c r="S29" s="178"/>
      <x:c r="T29" s="16"/>
      <x:c r="U29" s="16"/>
      <x:c r="V29" s="16"/>
      <x:c r="W29" s="16"/>
      <x:c r="X29" s="16"/>
      <x:c r="Y29" s="16"/>
      <x:c r="Z29" s="16"/>
    </x:row>
    <x:row r="30" ht="22" customHeight="1">
      <x:c r="A30" s="66"/>
      <x:c r="B30" s="66"/>
      <x:c r="C30" s="180"/>
      <x:c r="D30" s="180"/>
      <x:c r="E30" s="180"/>
      <x:c r="F30" s="180"/>
      <x:c r="G30" s="180"/>
      <x:c r="H30" s="180"/>
      <x:c r="I30" s="180"/>
      <x:c r="J30" s="180"/>
      <x:c r="K30" s="180"/>
      <x:c r="L30" s="180"/>
      <x:c r="M30" s="180"/>
      <x:c r="N30" s="180"/>
      <x:c r="O30" s="178"/>
      <x:c r="P30" s="178"/>
      <x:c r="Q30" s="178"/>
      <x:c r="R30" s="178"/>
      <x:c r="S30" s="178"/>
      <x:c r="T30" s="16"/>
      <x:c r="U30" s="16"/>
      <x:c r="V30" s="16"/>
      <x:c r="W30" s="16"/>
      <x:c r="X30" s="16"/>
      <x:c r="Y30" s="16"/>
      <x:c r="Z30" s="16"/>
    </x:row>
    <x:row r="31" ht="22" customHeight="1">
      <x:c r="A31" s="66"/>
      <x:c r="B31" s="66"/>
      <x:c r="C31" s="181" t="str">
        <x:v>⑮ 강점 (Strengths)
· AI 도구 활용 능력 우수
· UI 설계 및 사용자 경험 이해도 높음
· 프로젝트 전 과정 적극 참여
· 피드백 반영 및 개선 속도 빠름</x:v>
      </x:c>
      <x:c r="D31" s="181"/>
      <x:c r="E31" s="181"/>
      <x:c r="F31" s="181"/>
      <x:c r="G31" s="181" t="str">
        <x:v>⑯ 보완점 (Development Areas)
· 프론트엔드 심화 학습 필요
· 디자인 근거 문서화 습관 강화
· 발표 시 논리적 구조화 연습 필요</x:v>
      </x:c>
      <x:c r="H31" s="181"/>
      <x:c r="I31" s="181"/>
      <x:c r="J31" s="181"/>
      <x:c r="K31" s="181" t="str">
        <x:v>⑰ 교수자 종합 의견
전반적인 실무 역량이 우수하며 AI 도구를 활용한 문제 해결 능력이 뛰어납니다.
기업 프로젝트 투입 시 빠른 적응이 기대됩니다.
지도교수: 온다쌤</x:v>
      </x:c>
      <x:c r="L31" s="181"/>
      <x:c r="M31" s="181"/>
      <x:c r="N31" s="181"/>
      <x:c r="O31" s="178"/>
      <x:c r="P31" s="178"/>
      <x:c r="Q31" s="178"/>
      <x:c r="R31" s="178"/>
      <x:c r="S31" s="178"/>
      <x:c r="T31" s="16"/>
      <x:c r="U31" s="16"/>
      <x:c r="V31" s="16"/>
      <x:c r="W31" s="16"/>
      <x:c r="X31" s="16"/>
      <x:c r="Y31" s="16"/>
      <x:c r="Z31" s="16"/>
    </x:row>
    <x:row r="32" ht="22" customHeight="1">
      <x:c r="A32" s="66"/>
      <x:c r="B32" s="66"/>
      <x:c r="C32" s="181"/>
      <x:c r="D32" s="181"/>
      <x:c r="E32" s="181"/>
      <x:c r="F32" s="181"/>
      <x:c r="G32" s="181"/>
      <x:c r="H32" s="181"/>
      <x:c r="I32" s="181"/>
      <x:c r="J32" s="181"/>
      <x:c r="K32" s="181"/>
      <x:c r="L32" s="181"/>
      <x:c r="M32" s="181"/>
      <x:c r="N32" s="181"/>
      <x:c r="O32" s="178"/>
      <x:c r="P32" s="178"/>
      <x:c r="Q32" s="178"/>
      <x:c r="R32" s="178"/>
      <x:c r="S32" s="178"/>
      <x:c r="T32" s="16"/>
      <x:c r="U32" s="16"/>
      <x:c r="V32" s="16"/>
      <x:c r="W32" s="16"/>
      <x:c r="X32" s="16"/>
      <x:c r="Y32" s="16"/>
      <x:c r="Z32" s="16"/>
    </x:row>
    <x:row r="33" ht="22" customHeight="1">
      <x:c r="A33" s="66"/>
      <x:c r="B33" s="66"/>
      <x:c r="C33" s="181"/>
      <x:c r="D33" s="181"/>
      <x:c r="E33" s="181"/>
      <x:c r="F33" s="181"/>
      <x:c r="G33" s="181"/>
      <x:c r="H33" s="181"/>
      <x:c r="I33" s="181"/>
      <x:c r="J33" s="181"/>
      <x:c r="K33" s="181"/>
      <x:c r="L33" s="181"/>
      <x:c r="M33" s="181"/>
      <x:c r="N33" s="181"/>
      <x:c r="O33" s="178"/>
      <x:c r="P33" s="178"/>
      <x:c r="Q33" s="178"/>
      <x:c r="R33" s="178"/>
      <x:c r="S33" s="178"/>
      <x:c r="T33" s="16"/>
      <x:c r="U33" s="16"/>
      <x:c r="V33" s="16"/>
      <x:c r="W33" s="16"/>
      <x:c r="X33" s="16"/>
      <x:c r="Y33" s="16"/>
      <x:c r="Z33" s="16"/>
    </x:row>
    <x:row r="34" ht="22" customHeight="1">
      <x:c r="A34" s="66"/>
      <x:c r="B34" s="66"/>
      <x:c r="C34" s="181"/>
      <x:c r="D34" s="181"/>
      <x:c r="E34" s="181"/>
      <x:c r="F34" s="181"/>
      <x:c r="G34" s="181"/>
      <x:c r="H34" s="181"/>
      <x:c r="I34" s="181"/>
      <x:c r="J34" s="181"/>
      <x:c r="K34" s="181"/>
      <x:c r="L34" s="181"/>
      <x:c r="M34" s="181"/>
      <x:c r="N34" s="181"/>
      <x:c r="O34" s="178"/>
      <x:c r="P34" s="178"/>
      <x:c r="Q34" s="178"/>
      <x:c r="R34" s="178"/>
      <x:c r="S34" s="178"/>
      <x:c r="T34" s="16"/>
      <x:c r="U34" s="16"/>
      <x:c r="V34" s="16"/>
      <x:c r="W34" s="16"/>
      <x:c r="X34" s="16"/>
      <x:c r="Y34" s="16"/>
      <x:c r="Z34" s="16"/>
    </x:row>
    <x:row r="35" ht="22" customHeight="1">
      <x:c r="A35" s="66"/>
      <x:c r="B35" s="66"/>
      <x:c r="C35" s="181"/>
      <x:c r="D35" s="181"/>
      <x:c r="E35" s="181"/>
      <x:c r="F35" s="181"/>
      <x:c r="G35" s="181"/>
      <x:c r="H35" s="181"/>
      <x:c r="I35" s="181"/>
      <x:c r="J35" s="181"/>
      <x:c r="K35" s="181"/>
      <x:c r="L35" s="181"/>
      <x:c r="M35" s="181"/>
      <x:c r="N35" s="181"/>
      <x:c r="O35" s="178"/>
      <x:c r="P35" s="178"/>
      <x:c r="Q35" s="178"/>
      <x:c r="R35" s="178"/>
      <x:c r="S35" s="178"/>
      <x:c r="T35" s="16"/>
      <x:c r="U35" s="16"/>
      <x:c r="V35" s="16"/>
      <x:c r="W35" s="16"/>
      <x:c r="X35" s="16"/>
      <x:c r="Y35" s="16"/>
      <x:c r="Z35" s="16"/>
    </x:row>
    <x:row r="36" ht="22" customHeight="1">
      <x:c r="A36" s="66"/>
      <x:c r="B36" s="66"/>
      <x:c r="C36" s="181"/>
      <x:c r="D36" s="181"/>
      <x:c r="E36" s="181"/>
      <x:c r="F36" s="181"/>
      <x:c r="G36" s="181"/>
      <x:c r="H36" s="181"/>
      <x:c r="I36" s="181"/>
      <x:c r="J36" s="181"/>
      <x:c r="K36" s="181"/>
      <x:c r="L36" s="181"/>
      <x:c r="M36" s="181"/>
      <x:c r="N36" s="181"/>
      <x:c r="O36" s="178"/>
      <x:c r="P36" s="178"/>
      <x:c r="Q36" s="178"/>
      <x:c r="R36" s="178"/>
      <x:c r="S36" s="178"/>
      <x:c r="T36" s="16"/>
      <x:c r="U36" s="16"/>
      <x:c r="V36" s="16"/>
      <x:c r="W36" s="16"/>
      <x:c r="X36" s="16"/>
      <x:c r="Y36" s="16"/>
      <x:c r="Z36" s="16"/>
    </x:row>
    <x:row r="37" ht="22" customHeight="1">
      <x:c r="A37" s="66"/>
      <x:c r="B37" s="66"/>
      <x:c r="C37" s="181"/>
      <x:c r="D37" s="181"/>
      <x:c r="E37" s="181"/>
      <x:c r="F37" s="181"/>
      <x:c r="G37" s="181"/>
      <x:c r="H37" s="181"/>
      <x:c r="I37" s="181"/>
      <x:c r="J37" s="181"/>
      <x:c r="K37" s="181"/>
      <x:c r="L37" s="181"/>
      <x:c r="M37" s="181"/>
      <x:c r="N37" s="181"/>
      <x:c r="O37" s="178"/>
      <x:c r="P37" s="178"/>
      <x:c r="Q37" s="178"/>
      <x:c r="R37" s="178"/>
      <x:c r="S37" s="178"/>
      <x:c r="T37" s="16"/>
      <x:c r="U37" s="16"/>
      <x:c r="V37" s="16"/>
      <x:c r="W37" s="16"/>
      <x:c r="X37" s="16"/>
      <x:c r="Y37" s="16"/>
      <x:c r="Z37" s="16"/>
    </x:row>
    <x:row r="38" ht="22" customHeight="1">
      <x:c r="A38" s="66"/>
      <x:c r="B38" s="66"/>
      <x:c r="C38" s="181"/>
      <x:c r="D38" s="181"/>
      <x:c r="E38" s="181"/>
      <x:c r="F38" s="181"/>
      <x:c r="G38" s="181"/>
      <x:c r="H38" s="181"/>
      <x:c r="I38" s="181"/>
      <x:c r="J38" s="181"/>
      <x:c r="K38" s="181"/>
      <x:c r="L38" s="181"/>
      <x:c r="M38" s="181"/>
      <x:c r="N38" s="181"/>
      <x:c r="O38" s="178"/>
      <x:c r="P38" s="178"/>
      <x:c r="Q38" s="178"/>
      <x:c r="R38" s="178"/>
      <x:c r="S38" s="178"/>
      <x:c r="T38" s="16"/>
      <x:c r="U38" s="16"/>
      <x:c r="V38" s="16"/>
      <x:c r="W38" s="16"/>
      <x:c r="X38" s="16"/>
      <x:c r="Y38" s="16"/>
      <x:c r="Z38" s="16"/>
    </x:row>
    <x:row r="39" ht="22" customHeight="1">
      <x:c r="A39" s="66"/>
      <x:c r="B39" s="66"/>
      <x:c r="C39" s="181"/>
      <x:c r="D39" s="181"/>
      <x:c r="E39" s="181"/>
      <x:c r="F39" s="181"/>
      <x:c r="G39" s="181"/>
      <x:c r="H39" s="181"/>
      <x:c r="I39" s="181"/>
      <x:c r="J39" s="181"/>
      <x:c r="K39" s="181"/>
      <x:c r="L39" s="181"/>
      <x:c r="M39" s="181"/>
      <x:c r="N39" s="181"/>
      <x:c r="O39" s="178"/>
      <x:c r="P39" s="178"/>
      <x:c r="Q39" s="178"/>
      <x:c r="R39" s="178"/>
      <x:c r="S39" s="178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V1"/>
    <x:mergeCell ref="A5:S5"/>
    <x:mergeCell ref="T5:V5"/>
    <x:mergeCell ref="A6:B39"/>
    <x:mergeCell ref="C6:N8"/>
    <x:mergeCell ref="O6:S39"/>
    <x:mergeCell ref="C9:D12"/>
    <x:mergeCell ref="E9:F12"/>
    <x:mergeCell ref="G9:H12"/>
    <x:mergeCell ref="I9:J12"/>
    <x:mergeCell ref="K9:N12"/>
    <x:mergeCell ref="C13:E21"/>
    <x:mergeCell ref="F13:J21"/>
    <x:mergeCell ref="K13:N21"/>
    <x:mergeCell ref="C22:F30"/>
    <x:mergeCell ref="G22:J30"/>
    <x:mergeCell ref="K22:N30"/>
    <x:mergeCell ref="C31:F39"/>
    <x:mergeCell ref="G31:J39"/>
    <x:mergeCell ref="K31:N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34" hidden="0" customWidth="1"/>
    <x:col min="5" max="5" width="28" hidden="0" customWidth="1"/>
    <x:col min="6" max="6" width="20" hidden="0" customWidth="1"/>
    <x:col min="7" max="7" width="18" hidden="0" customWidth="1"/>
  </x:cols>
  <x:sheetData>
    <x:row r="1">
      <x:c r="A1" s="138" t="str">
        <x:v>Description · 번호별 화면 요소 정의</x:v>
      </x:c>
      <x:c r="B1" s="138"/>
      <x:c r="C1" s="138"/>
      <x:c r="D1" s="138"/>
      <x:c r="E1" s="138"/>
      <x:c r="F1" s="138"/>
      <x:c r="G1" s="138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38"/>
      <x:c r="B2" s="138"/>
      <x:c r="C2" s="138"/>
      <x:c r="D2" s="138"/>
      <x:c r="E2" s="138"/>
      <x:c r="F2" s="138"/>
      <x:c r="G2" s="138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65" t="str">
        <x:v>No</x:v>
      </x:c>
      <x:c r="B4" s="65" t="str">
        <x:v>영역명</x:v>
      </x:c>
      <x:c r="C4" s="65" t="str">
        <x:v>화면 설명</x:v>
      </x:c>
      <x:c r="D4" s="65" t="str">
        <x:v>데이터/연동</x:v>
      </x:c>
      <x:c r="E4" s="65" t="str">
        <x:v>상태·예외</x:v>
      </x:c>
      <x:c r="F4" s="65" t="str">
        <x:v>우선순위</x:v>
      </x:c>
      <x:c r="G4" s="65" t="str">
        <x:v>비고</x:v>
      </x:c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16" t="n">
        <x:v>1</x:v>
      </x:c>
      <x:c r="B5" s="120" t="str">
        <x:v>좌측 과정 브랜딩</x:v>
      </x:c>
      <x:c r="C5" s="17" t="str">
        <x:v>과정명과 훈련기간을 고정 표시하여 기업용 자료의 맥락을 명확히 한다.</x:v>
      </x:c>
      <x:c r="D5" s="17" t="str">
        <x:v>과정명, 훈련기간</x:v>
      </x:c>
      <x:c r="E5" s="17" t="str">
        <x:v>텍스트 길이 과다 시 줄바꿈</x:v>
      </x:c>
      <x:c r="F5" s="17" t="str">
        <x:v>상</x:v>
      </x:c>
      <x:c r="G5" s="17" t="str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16" t="n">
        <x:v>2</x:v>
      </x:c>
      <x:c r="B6" s="120" t="str">
        <x:v>페이지 헤더</x:v>
      </x:c>
      <x:c r="C6" s="17" t="str">
        <x:v>기관명/문서명/과정명을 최상단에서 제공한다.</x:v>
      </x:c>
      <x:c r="D6" s="17" t="str">
        <x:v>기관명, 과정명, 기간</x:v>
      </x:c>
      <x:c r="E6" s="17" t="str">
        <x:v>기간 미입력 시 '-' 표시</x:v>
      </x:c>
      <x:c r="F6" s="17" t="str">
        <x:v>상</x:v>
      </x:c>
      <x:c r="G6" s="17" t="str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16" t="n">
        <x:v>3</x:v>
      </x:c>
      <x:c r="B7" s="120" t="str">
        <x:v>출석률 KPI</x:v>
      </x:c>
      <x:c r="C7" s="17" t="str">
        <x:v>훈련 참여 성실도를 빠르게 파악할 수 있도록 비율과 일수를 동시에 표시한다.</x:v>
      </x:c>
      <x:c r="D7" s="17" t="str">
        <x:v>출석일수/총훈련일수</x:v>
      </x:c>
      <x:c r="E7" s="17" t="str">
        <x:v>결석 데이터 누락 시 계산 보류</x:v>
      </x:c>
      <x:c r="F7" s="17" t="str">
        <x:v>상</x:v>
      </x:c>
      <x:c r="G7" s="17" t="str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16" t="n">
        <x:v>4</x:v>
      </x:c>
      <x:c r="B8" s="120" t="str">
        <x:v>최종평가 평균 KPI</x:v>
      </x:c>
      <x:c r="C8" s="17" t="str">
        <x:v>최종 성취수준을 대표하는 핵심 점수를 카드로 표시한다.</x:v>
      </x:c>
      <x:c r="D8" s="17" t="str">
        <x:v>최종평가 평균</x:v>
      </x:c>
      <x:c r="E8" s="17" t="str">
        <x:v>100점 만점 외 기준은 환산 필요</x:v>
      </x:c>
      <x:c r="F8" s="17" t="str">
        <x:v>상</x:v>
      </x:c>
      <x:c r="G8" s="17" t="str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16" t="n">
        <x:v>5</x:v>
      </x:c>
      <x:c r="B9" s="120" t="str">
        <x:v>성장률 KPI</x:v>
      </x:c>
      <x:c r="C9" s="17" t="str">
        <x:v>사전진단 대비 최종평가 향상 정도를 수치로 강조한다.</x:v>
      </x:c>
      <x:c r="D9" s="17" t="str">
        <x:v>최종평가-사전진단</x:v>
      </x:c>
      <x:c r="E9" s="17" t="str">
        <x:v>사전진단 값 0 또는 누락 시 성장률 미표시</x:v>
      </x:c>
      <x:c r="F9" s="17" t="str">
        <x:v>상</x:v>
      </x:c>
      <x:c r="G9" s="17" t="str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16" t="n">
        <x:v>6</x:v>
      </x:c>
      <x:c r="B10" s="120" t="str">
        <x:v>프로젝트 참여율 KPI</x:v>
      </x:c>
      <x:c r="C10" s="17" t="str">
        <x:v>프로젝트 기반 훈련 참여도를 정량화한다.</x:v>
      </x:c>
      <x:c r="D10" s="17" t="str">
        <x:v>완료 프로젝트/전체 프로젝트</x:v>
      </x:c>
      <x:c r="E10" s="17" t="str">
        <x:v>진행 중 프로젝트는 별도 상태 표시</x:v>
      </x:c>
      <x:c r="F10" s="17" t="str">
        <x:v>중</x:v>
      </x:c>
      <x:c r="G10" s="17" t="str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16" t="n">
        <x:v>7</x:v>
      </x:c>
      <x:c r="B11" s="120" t="str">
        <x:v>협업등급 KPI</x:v>
      </x:c>
      <x:c r="C11" s="17" t="str">
        <x:v>협업·커뮤니케이션 역량을 기업 담당자가 이해하기 쉬운 등급으로 요약한다.</x:v>
      </x:c>
      <x:c r="D11" s="17" t="str">
        <x:v>협업 점수→등급 매핑</x:v>
      </x:c>
      <x:c r="E11" s="17" t="str">
        <x:v>등급 기준 변경 가능</x:v>
      </x:c>
      <x:c r="F11" s="17" t="str">
        <x:v>중</x:v>
      </x:c>
      <x:c r="G11" s="17" t="str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16" t="n">
        <x:v>8</x:v>
      </x:c>
      <x:c r="B12" s="120" t="str">
        <x:v>훈련생 프로필</x:v>
      </x:c>
      <x:c r="C12" s="17" t="str">
        <x:v>훈련생 신상·성취유형·직무목표·포트폴리오 QR을 제공한다.</x:v>
      </x:c>
      <x:c r="D12" s="17" t="str">
        <x:v>훈련생 DB, 포트폴리오 링크</x:v>
      </x:c>
      <x:c r="E12" s="17" t="str">
        <x:v>개인정보 마스킹 필수</x:v>
      </x:c>
      <x:c r="F12" s="17" t="str">
        <x:v>상</x:v>
      </x:c>
      <x:c r="G12" s="17" t="str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16" t="n">
        <x:v>9</x:v>
      </x:c>
      <x:c r="B13" s="120" t="str">
        <x:v>성장 추이 차트</x:v>
      </x:c>
      <x:c r="C13" s="17" t="str">
        <x:v>사전진단·중간평가·최종평가를 시간순으로 보여준다.</x:v>
      </x:c>
      <x:c r="D13" s="17" t="str">
        <x:v>평가차수별 점수</x:v>
      </x:c>
      <x:c r="E13" s="17" t="str">
        <x:v>차수 누락 시 선형 차트 점 표시 제외</x:v>
      </x:c>
      <x:c r="F13" s="17" t="str">
        <x:v>상</x:v>
      </x:c>
      <x:c r="G13" s="17" t="str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16" t="n">
        <x:v>10</x:v>
      </x:c>
      <x:c r="B14" s="120" t="str">
        <x:v>6대 역량 레이더</x:v>
      </x:c>
      <x:c r="C14" s="17" t="str">
        <x:v>역량 간 균형과 강약점을 한눈에 보여준다.</x:v>
      </x:c>
      <x:c r="D14" s="17" t="str">
        <x:v>능력단위별 점수</x:v>
      </x:c>
      <x:c r="E14" s="17" t="str">
        <x:v>축 개수 변경 시 차트 재설정</x:v>
      </x:c>
      <x:c r="F14" s="17" t="str">
        <x:v>중</x:v>
      </x:c>
      <x:c r="G14" s="17" t="str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16" t="n">
        <x:v>11</x:v>
      </x:c>
      <x:c r="B15" s="120" t="str">
        <x:v>성적 결과서 패널</x:v>
      </x:c>
      <x:c r="C15" s="17" t="str">
        <x:v>기업 제출용 서식. 평가 결과 요약, 능력단위 평가, 성장이력, 확인자 영역을 포함한다.</x:v>
      </x:c>
      <x:c r="D15" s="17" t="str">
        <x:v>평가표, 훈련생 정보</x:v>
      </x:c>
      <x:c r="E15" s="17" t="str">
        <x:v>출력/PDF 저장 시 페이지 분리 기준 확인</x:v>
      </x:c>
      <x:c r="F15" s="17" t="str">
        <x:v>상</x:v>
      </x:c>
      <x:c r="G15" s="17" t="str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16" t="n">
        <x:v>12</x:v>
      </x:c>
      <x:c r="B16" s="120" t="str">
        <x:v>능력단위 점수</x:v>
      </x:c>
      <x:c r="C16" s="17" t="str">
        <x:v>각 능력단위 점수를 막대형으로 비교한다.</x:v>
      </x:c>
      <x:c r="D16" s="17" t="str">
        <x:v>능력단위명, 점수</x:v>
      </x:c>
      <x:c r="E16" s="17" t="str">
        <x:v>점수 범위 0~100 검증</x:v>
      </x:c>
      <x:c r="F16" s="17" t="str">
        <x:v>상</x:v>
      </x:c>
      <x:c r="G16" s="17" t="str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16" t="n">
        <x:v>13</x:v>
      </x:c>
      <x:c r="B17" s="120" t="str">
        <x:v>프로젝트 수행 결과</x:v>
      </x:c>
      <x:c r="C17" s="17" t="str">
        <x:v>프로젝트별 역할·기간·평가등급을 표로 제공한다.</x:v>
      </x:c>
      <x:c r="D17" s="17" t="str">
        <x:v>프로젝트 DB</x:v>
      </x:c>
      <x:c r="E17" s="17" t="str">
        <x:v>프로젝트 미수행 시 사유 표시</x:v>
      </x:c>
      <x:c r="F17" s="17" t="str">
        <x:v>중</x:v>
      </x:c>
      <x:c r="G17" s="17" t="str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16" t="n">
        <x:v>14</x:v>
      </x:c>
      <x:c r="B18" s="120" t="str">
        <x:v>채용 적합도</x:v>
      </x:c>
      <x:c r="C18" s="17" t="str">
        <x:v>현장 투입 가능성을 하나의 대표 지표와 4개 보조 지표로 요약한다.</x:v>
      </x:c>
      <x:c r="D18" s="17" t="str">
        <x:v>적합도 산식/보조지표</x:v>
      </x:c>
      <x:c r="E18" s="17" t="str">
        <x:v>산식 공개 여부는 기관 정책에 따름</x:v>
      </x:c>
      <x:c r="F18" s="17" t="str">
        <x:v>상</x:v>
      </x:c>
      <x:c r="G18" s="17" t="str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16" t="n">
        <x:v>15</x:v>
      </x:c>
      <x:c r="B19" s="120" t="str">
        <x:v>강점</x:v>
      </x:c>
      <x:c r="C19" s="17" t="str">
        <x:v>기업 전달용 긍정 피드백을 구체적 행동 중심으로 정리한다.</x:v>
      </x:c>
      <x:c r="D19" s="17" t="str">
        <x:v>교수자 평가 의견</x:v>
      </x:c>
      <x:c r="E19" s="17" t="str">
        <x:v>과장 표현 방지</x:v>
      </x:c>
      <x:c r="F19" s="17" t="str">
        <x:v>중</x:v>
      </x:c>
      <x:c r="G19" s="17" t="str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16" t="n">
        <x:v>16</x:v>
      </x:c>
      <x:c r="B20" s="120" t="str">
        <x:v>보완점</x:v>
      </x:c>
      <x:c r="C20" s="17" t="str">
        <x:v>추가 훈련과 실무 적응을 위한 개선 포인트를 제시한다.</x:v>
      </x:c>
      <x:c r="D20" s="17" t="str">
        <x:v>교수자 평가 의견</x:v>
      </x:c>
      <x:c r="E20" s="17" t="str">
        <x:v>부정적 표현보다 개선 가능성 중심</x:v>
      </x:c>
      <x:c r="F20" s="17" t="str">
        <x:v>중</x:v>
      </x:c>
      <x:c r="G20" s="17" t="str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16" t="n">
        <x:v>17</x:v>
      </x:c>
      <x:c r="B21" s="120" t="str">
        <x:v>교수자 의견</x:v>
      </x:c>
      <x:c r="C21" s="17" t="str">
        <x:v>기업 담당자가 이해할 수 있는 종합 판단과 추천 수준을 문장으로 제공한다.</x:v>
      </x:c>
      <x:c r="D21" s="17" t="str">
        <x:v>교수자 종합 의견</x:v>
      </x:c>
      <x:c r="E21" s="17" t="str">
        <x:v>확인자/발행일 누락 방지</x:v>
      </x:c>
      <x:c r="F21" s="17" t="str">
        <x:v>상</x:v>
      </x:c>
      <x:c r="G21" s="17" t="str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34" hidden="0" customWidth="1"/>
    <x:col min="5" max="5" width="28" hidden="0" customWidth="1"/>
    <x:col min="6" max="6" width="28" hidden="0" customWidth="1"/>
    <x:col min="7" max="7" width="24" hidden="0" customWidth="1"/>
    <x:col min="8" max="8" width="18" hidden="0" customWidth="1"/>
  </x:cols>
  <x:sheetData>
    <x:row r="1">
      <x:c r="A1" s="138" t="str">
        <x:v>UI 요소 정의 · 컴포넌트/데이터/상태</x:v>
      </x:c>
      <x:c r="B1" s="138"/>
      <x:c r="C1" s="138"/>
      <x:c r="D1" s="138"/>
      <x:c r="E1" s="138"/>
      <x:c r="F1" s="138"/>
      <x:c r="G1" s="138"/>
      <x:c r="H1" s="138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38"/>
      <x:c r="B2" s="138"/>
      <x:c r="C2" s="138"/>
      <x:c r="D2" s="138"/>
      <x:c r="E2" s="138"/>
      <x:c r="F2" s="138"/>
      <x:c r="G2" s="138"/>
      <x:c r="H2" s="138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65" t="str">
        <x:v>ID</x:v>
      </x:c>
      <x:c r="B4" s="65" t="str">
        <x:v>컴포넌트</x:v>
      </x:c>
      <x:c r="C4" s="65" t="str">
        <x:v>유형</x:v>
      </x:c>
      <x:c r="D4" s="65" t="str">
        <x:v>목적</x:v>
      </x:c>
      <x:c r="E4" s="65" t="str">
        <x:v>표시 데이터</x:v>
      </x:c>
      <x:c r="F4" s="65" t="str">
        <x:v>상호작용/링크</x:v>
      </x:c>
      <x:c r="G4" s="65" t="str">
        <x:v>상태</x:v>
      </x:c>
      <x:c r="H4" s="65" t="str">
        <x:v>개발 비고</x:v>
      </x:c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26" t="str">
        <x:v>C-01</x:v>
      </x:c>
      <x:c r="B5" s="120" t="str">
        <x:v>KPI 카드</x:v>
      </x:c>
      <x:c r="C5" s="17" t="str">
        <x:v>Card</x:v>
      </x:c>
      <x:c r="D5" s="17" t="str">
        <x:v>핵심 수치를 상단에서 빠르게 전달</x:v>
      </x:c>
      <x:c r="E5" s="17" t="str">
        <x:v>출석률, 최종평가, 성장률, 프로젝트 참여율, 협업등급</x:v>
      </x:c>
      <x:c r="F5" s="17" t="str">
        <x:v>클릭 시 상세 데이터 영역 이동 가능</x:v>
      </x:c>
      <x:c r="G5" s="17" t="str">
        <x:v>정상/주의/데이터없음</x:v>
      </x:c>
      <x:c r="H5" s="17" t="str">
        <x:v>0~100 범위 검증</x:v>
      </x:c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26" t="str">
        <x:v>C-02</x:v>
      </x:c>
      <x:c r="B6" s="120" t="str">
        <x:v>프로필 카드</x:v>
      </x:c>
      <x:c r="C6" s="17" t="str">
        <x:v>Profile</x:v>
      </x:c>
      <x:c r="D6" s="17" t="str">
        <x:v>훈련생 기본정보와 포트폴리오 접근 제공</x:v>
      </x:c>
      <x:c r="E6" s="17" t="str">
        <x:v>마스킹 이름, ID, 성취유형, 기업, 직무목표</x:v>
      </x:c>
      <x:c r="F6" s="17" t="str">
        <x:v>QR 또는 포트폴리오 링크</x:v>
      </x:c>
      <x:c r="G6" s="17" t="str">
        <x:v>링크 있음/없음</x:v>
      </x:c>
      <x:c r="H6" s="17" t="str">
        <x:v>개인정보 정책 확인</x:v>
      </x:c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26" t="str">
        <x:v>C-03</x:v>
      </x:c>
      <x:c r="B7" s="120" t="str">
        <x:v>성장 추이 차트</x:v>
      </x:c>
      <x:c r="C7" s="17" t="str">
        <x:v>Line chart</x:v>
      </x:c>
      <x:c r="D7" s="17" t="str">
        <x:v>평가차수별 성장 흐름 시각화</x:v>
      </x:c>
      <x:c r="E7" s="17" t="str">
        <x:v>사전진단, 중간평가, 최종평가</x:v>
      </x:c>
      <x:c r="F7" s="17" t="str">
        <x:v>마우스오버 점수 표시</x:v>
      </x:c>
      <x:c r="G7" s="17" t="str">
        <x:v>정상/차수누락</x:v>
      </x:c>
      <x:c r="H7" s="17" t="str">
        <x:v>차트 색상은 브랜드 블루</x:v>
      </x:c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26" t="str">
        <x:v>C-04</x:v>
      </x:c>
      <x:c r="B8" s="120" t="str">
        <x:v>6대 역량 차트</x:v>
      </x:c>
      <x:c r="C8" s="17" t="str">
        <x:v>Radar chart</x:v>
      </x:c>
      <x:c r="D8" s="17" t="str">
        <x:v>역량 균형 확인</x:v>
      </x:c>
      <x:c r="E8" s="17" t="str">
        <x:v>UI, UX, AI, 프로젝트, 협업, 문서화</x:v>
      </x:c>
      <x:c r="F8" s="17" t="str">
        <x:v>마우스오버 점수 표시</x:v>
      </x:c>
      <x:c r="G8" s="17" t="str">
        <x:v>정상/데이터없음</x:v>
      </x:c>
      <x:c r="H8" s="17" t="str">
        <x:v>Google Sheets에서는 별도 차트 구현 가능</x:v>
      </x:c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26" t="str">
        <x:v>C-05</x:v>
      </x:c>
      <x:c r="B9" s="120" t="str">
        <x:v>능력단위 막대</x:v>
      </x:c>
      <x:c r="C9" s="17" t="str">
        <x:v>Bar list</x:v>
      </x:c>
      <x:c r="D9" s="17" t="str">
        <x:v>능력단위별 성취도 비교</x:v>
      </x:c>
      <x:c r="E9" s="17" t="str">
        <x:v>능력단위명, 점수</x:v>
      </x:c>
      <x:c r="F9" s="17" t="str">
        <x:v>클릭 시 평가근거 확인 가능</x:v>
      </x:c>
      <x:c r="G9" s="17" t="str">
        <x:v>정상/주의/위험</x:v>
      </x:c>
      <x:c r="H9" s="17" t="str">
        <x:v>80점 미만 보완 후보</x:v>
      </x:c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26" t="str">
        <x:v>C-06</x:v>
      </x:c>
      <x:c r="B10" s="120" t="str">
        <x:v>프로젝트 표</x:v>
      </x:c>
      <x:c r="C10" s="17" t="str">
        <x:v>Table</x:v>
      </x:c>
      <x:c r="D10" s="17" t="str">
        <x:v>프로젝트 기반 실무 성과 표시</x:v>
      </x:c>
      <x:c r="E10" s="17" t="str">
        <x:v>프로젝트명, 역할, 기간, 등급</x:v>
      </x:c>
      <x:c r="F10" s="17" t="str">
        <x:v>프로젝트 상세 산출물 링크</x:v>
      </x:c>
      <x:c r="G10" s="17" t="str">
        <x:v>완료/진행/미수행</x:v>
      </x:c>
      <x:c r="H10" s="17" t="str">
        <x:v>등급 기준표 필요</x:v>
      </x:c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26" t="str">
        <x:v>C-07</x:v>
      </x:c>
      <x:c r="B11" s="120" t="str">
        <x:v>채용 적합도</x:v>
      </x:c>
      <x:c r="C11" s="17" t="str">
        <x:v>Gauge</x:v>
      </x:c>
      <x:c r="D11" s="17" t="str">
        <x:v>현장 투입 가능성 요약</x:v>
      </x:c>
      <x:c r="E11" s="17" t="str">
        <x:v>대표 적합도, 실무 이해, 학습 완성도, 협업, 태도</x:v>
      </x:c>
      <x:c r="F11" s="17" t="str">
        <x:v>상세 산식 안내 가능</x:v>
      </x:c>
      <x:c r="G11" s="17" t="str">
        <x:v>높음/보통/낮음</x:v>
      </x:c>
      <x:c r="H11" s="17" t="str">
        <x:v>산식 정책화 필요</x:v>
      </x:c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26" t="str">
        <x:v>C-08</x:v>
      </x:c>
      <x:c r="B12" s="120" t="str">
        <x:v>성적 결과서</x:v>
      </x:c>
      <x:c r="C12" s="17" t="str">
        <x:v>Report</x:v>
      </x:c>
      <x:c r="D12" s="17" t="str">
        <x:v>기업 제출용 단일 리포트</x:v>
      </x:c>
      <x:c r="E12" s="17" t="str">
        <x:v>훈련생 정보, 평가요약, 성장이력, 확인자</x:v>
      </x:c>
      <x:c r="F12" s="17" t="str">
        <x:v>PDF/인쇄</x:v>
      </x:c>
      <x:c r="G12" s="17" t="str">
        <x:v>검토중/확정</x:v>
      </x:c>
      <x:c r="H12" s="17" t="str">
        <x:v>출력 여백 확인</x:v>
      </x:c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26" t="str">
        <x:v>C-09</x:v>
      </x:c>
      <x:c r="B13" s="120" t="str">
        <x:v>강점/보완점/의견</x:v>
      </x:c>
      <x:c r="C13" s="17" t="str">
        <x:v>Text panel</x:v>
      </x:c>
      <x:c r="D13" s="17" t="str">
        <x:v>정량 지표를 정성 평가로 보완</x:v>
      </x:c>
      <x:c r="E13" s="17" t="str">
        <x:v>강점, 보완점, 교수자 의견</x:v>
      </x:c>
      <x:c r="F13" s="17" t="str">
        <x:v>수정/검토 워크플로우</x:v>
      </x:c>
      <x:c r="G13" s="17" t="str">
        <x:v>작성중/검수완료</x:v>
      </x:c>
      <x:c r="H13" s="17" t="str">
        <x:v>문장 품질 검수 필요</x:v>
      </x:c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</x:cols>
  <x:sheetData>
    <x:row r="1">
      <x:c r="A1" s="138" t="str">
        <x:v>샘플 데이터 · 수식/연동 기준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38"/>
      <x:c r="B2" s="138"/>
      <x:c r="C2" s="138"/>
      <x:c r="D2" s="138"/>
      <x:c r="E2" s="138"/>
      <x:c r="F2" s="138"/>
      <x:c r="G2" s="138"/>
      <x:c r="H2" s="138"/>
      <x:c r="I2" s="138"/>
      <x:c r="J2" s="138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43" t="str">
        <x:v>훈련생 기본정보</x:v>
      </x:c>
      <x:c r="B4" s="143"/>
      <x:c r="C4" s="143"/>
      <x:c r="D4" s="143"/>
      <x:c r="E4" s="143"/>
      <x:c r="F4" s="143"/>
      <x:c r="G4" s="143"/>
      <x:c r="H4" s="143"/>
      <x:c r="I4" s="143"/>
      <x:c r="J4" s="143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34" t="str">
        <x:v>훈련생명</x:v>
      </x:c>
      <x:c r="B5" s="30" t="str">
        <x:v>김*민</x:v>
      </x:c>
      <x:c r="C5" s="34" t="str">
        <x:v>영문명</x:v>
      </x:c>
      <x:c r="D5" s="30" t="str">
        <x:v>KIM*MIN</x:v>
      </x:c>
      <x:c r="E5" s="34" t="str">
        <x:v>훈련생 ID</x:v>
      </x:c>
      <x:c r="F5" s="30" t="str">
        <x:v>SAF-2026-015</x:v>
      </x:c>
      <x:c r="G5" s="34" t="str">
        <x:v>소속기업</x:v>
      </x:c>
      <x:c r="H5" s="30" t="str">
        <x:v>㈜ABC소프트</x:v>
      </x:c>
      <x:c r="I5" s="34" t="str">
        <x:v>직무목표</x:v>
      </x:c>
      <x:c r="J5" s="30" t="str">
        <x:v>UI/UX 디자이너</x:v>
      </x:c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34" t="str">
        <x:v>성취유형</x:v>
      </x:c>
      <x:c r="B6" s="30" t="str">
        <x:v>성장 우수형</x:v>
      </x:c>
      <x:c r="C6" s="34" t="str">
        <x:v>과정명</x:v>
      </x:c>
      <x:c r="D6" s="30" t="str">
        <x:v>AI 활용 UI/UX 엔지니어링</x:v>
      </x:c>
      <x:c r="E6" s="34" t="str">
        <x:v>훈련기간</x:v>
      </x:c>
      <x:c r="F6" s="30" t="str">
        <x:v>2026.03.02~2026.06.30</x:v>
      </x:c>
      <x:c r="G6" s="34" t="str">
        <x:v>발행일</x:v>
      </x:c>
      <x:c r="H6" s="30" t="str">
        <x:v>2026.07.01</x:v>
      </x:c>
      <x:c r="I6" s="34" t="str">
        <x:v>담당</x:v>
      </x:c>
      <x:c r="J6" s="30" t="str">
        <x:v>온다쌤</x:v>
      </x:c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43" t="str">
        <x:v>KPI 데이터</x:v>
      </x:c>
      <x:c r="B8" s="143"/>
      <x:c r="C8" s="143"/>
      <x:c r="D8" s="143"/>
      <x:c r="E8" s="143"/>
      <x:c r="F8" s="143"/>
      <x:c r="G8" s="143"/>
      <x:c r="H8" s="143"/>
      <x:c r="I8" s="143"/>
      <x:c r="J8" s="143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66" t="str">
        <x:v>지표</x:v>
      </x:c>
      <x:c r="B9" s="66" t="str">
        <x:v>값</x:v>
      </x:c>
      <x:c r="C9" s="66" t="str">
        <x:v>기준</x:v>
      </x:c>
      <x:c r="D9" s="66" t="str">
        <x:v>계산식/산식</x:v>
      </x:c>
      <x:c r="E9" s="66" t="str">
        <x:v>표시문구</x:v>
      </x:c>
      <x:c r="F9" s="66" t="str">
        <x:v>상태</x:v>
      </x:c>
      <x:c r="G9" s="66" t="str">
        <x:v>비고</x:v>
      </x:c>
      <x:c r="H9" s="30" t="str"/>
      <x:c r="I9" s="30" t="str"/>
      <x:c r="J9" s="30" t="str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30" t="str">
        <x:v>출석률</x:v>
      </x:c>
      <x:c r="B10" s="30" t="n">
        <x:v>156</x:v>
      </x:c>
      <x:c r="C10" s="30" t="n">
        <x:v>160</x:v>
      </x:c>
      <x:c r="D10" s="130" t="n">
        <x:f>B10/C10</x:f>
        <x:v>0.975</x:v>
      </x:c>
      <x:c r="E10" s="30" t="str">
        <x:f>TEXT(D10,"0%")&amp;" ("&amp;B10&amp;"/"&amp;C10&amp;"일)"</x:f>
        <x:v>98% (156/160일)</x:v>
      </x:c>
      <x:c r="F10" s="30" t="str">
        <x:v>정상</x:v>
      </x:c>
      <x:c r="G10" s="30" t="str">
        <x:v>출석일/총훈련일</x:v>
      </x:c>
      <x:c r="H10" s="30" t="str"/>
      <x:c r="I10" s="30" t="str"/>
      <x:c r="J10" s="30" t="str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30" t="str">
        <x:v>최종평가 평균</x:v>
      </x:c>
      <x:c r="B11" s="30" t="n">
        <x:v>87</x:v>
      </x:c>
      <x:c r="C11" s="30" t="n">
        <x:v>100</x:v>
      </x:c>
      <x:c r="D11" s="130" t="n">
        <x:f>B11</x:f>
        <x:v>87</x:v>
      </x:c>
      <x:c r="E11" s="30" t="str">
        <x:f>B11&amp;"점 ("&amp;C11&amp;"점 만점)"</x:f>
        <x:v>87점 (100점 만점)</x:v>
      </x:c>
      <x:c r="F11" s="30" t="str">
        <x:v>정상</x:v>
      </x:c>
      <x:c r="G11" s="30" t="str">
        <x:v>100점 만점</x:v>
      </x:c>
      <x:c r="H11" s="30" t="str"/>
      <x:c r="I11" s="30" t="str"/>
      <x:c r="J11" s="30" t="str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30" t="str">
        <x:v>성장률</x:v>
      </x:c>
      <x:c r="B12" s="30" t="n">
        <x:v>52</x:v>
      </x:c>
      <x:c r="C12" s="30" t="n">
        <x:v>87</x:v>
      </x:c>
      <x:c r="D12" s="130" t="n">
        <x:f>C12-B12</x:f>
        <x:v>35</x:v>
      </x:c>
      <x:c r="E12" s="30" t="str">
        <x:f>"+"&amp;D12&amp;"점 향상 ("&amp;TEXT(D12/B12,"0%")&amp;")"</x:f>
        <x:v>+35점 향상 (67%)</x:v>
      </x:c>
      <x:c r="F12" s="30" t="str">
        <x:v>정상</x:v>
      </x:c>
      <x:c r="G12" s="30" t="str">
        <x:v>최종-사전</x:v>
      </x:c>
      <x:c r="H12" s="30" t="str"/>
      <x:c r="I12" s="30" t="str"/>
      <x:c r="J12" s="30" t="str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30" t="str">
        <x:v>프로젝트 참여율</x:v>
      </x:c>
      <x:c r="B13" s="30" t="n">
        <x:v>3</x:v>
      </x:c>
      <x:c r="C13" s="30" t="n">
        <x:v>3</x:v>
      </x:c>
      <x:c r="D13" s="130" t="n">
        <x:f>B13/C13</x:f>
        <x:v>1</x:v>
      </x:c>
      <x:c r="E13" s="30" t="str">
        <x:f>TEXT(D13,"0%")&amp;" ("&amp;B13&amp;"/"&amp;C13&amp;" 프로젝트)"</x:f>
        <x:v>100% (3/3 프로젝트)</x:v>
      </x:c>
      <x:c r="F13" s="30" t="str">
        <x:v>정상</x:v>
      </x:c>
      <x:c r="G13" s="30" t="str">
        <x:v>완료/전체</x:v>
      </x:c>
      <x:c r="H13" s="30" t="str"/>
      <x:c r="I13" s="30" t="str"/>
      <x:c r="J13" s="30" t="str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30" t="str">
        <x:v>협업등급</x:v>
      </x:c>
      <x:c r="B14" s="30" t="n">
        <x:v>95</x:v>
      </x:c>
      <x:c r="C14" s="30" t="n">
        <x:v>100</x:v>
      </x:c>
      <x:c r="D14" s="130" t="str">
        <x:f>IF(B14&gt;=90,"A",IF(B14&gt;=80,"B",IF(B14&gt;=70,"C","D")))</x:f>
        <x:v>A</x:v>
      </x:c>
      <x:c r="E14" s="30" t="str">
        <x:f>D14&amp;" ("&amp;IF(D14="A","우수",IF(D14="B","양호",IF(D14="C","보통","관리필요")))&amp;")"</x:f>
        <x:v>A (우수)</x:v>
      </x:c>
      <x:c r="F14" s="30" t="str">
        <x:v>정상</x:v>
      </x:c>
      <x:c r="G14" s="30" t="str">
        <x:v>점수→등급</x:v>
      </x:c>
      <x:c r="H14" s="30" t="str"/>
      <x:c r="I14" s="30" t="str"/>
      <x:c r="J14" s="30" t="str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43" t="str">
        <x:v>성장 추이 데이터</x:v>
      </x:c>
      <x:c r="B16" s="143"/>
      <x:c r="C16" s="143"/>
      <x:c r="D16" s="143"/>
      <x:c r="E16" s="143"/>
      <x:c r="F16" s="143"/>
      <x:c r="G16" s="143"/>
      <x:c r="H16" s="143"/>
      <x:c r="I16" s="143"/>
      <x:c r="J16" s="143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66" t="str">
        <x:v>평가차수</x:v>
      </x:c>
      <x:c r="B17" s="66" t="str">
        <x:v>점수</x:v>
      </x:c>
      <x:c r="C17" s="66" t="str">
        <x:v>변화</x:v>
      </x:c>
      <x:c r="D17" s="66" t="str">
        <x:v>증감률</x:v>
      </x:c>
      <x:c r="E17" s="66" t="str">
        <x:v>비고</x:v>
      </x:c>
      <x:c r="F17" s="30"/>
      <x:c r="G17" s="143" t="str">
        <x:v>성적 결과서 평가 요약</x:v>
      </x:c>
      <x:c r="H17" s="143"/>
      <x:c r="I17" s="143"/>
      <x:c r="J17" s="143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30" t="str">
        <x:v>사전진단</x:v>
      </x:c>
      <x:c r="B18" s="30" t="n">
        <x:v>52</x:v>
      </x:c>
      <x:c r="C18" s="30" t="n">
        <x:f>B18-B18</x:f>
        <x:v>0</x:v>
      </x:c>
      <x:c r="D18" s="144" t="n">
        <x:f>IF(B18=0,"",C18/B18)</x:f>
        <x:v>0</x:v>
      </x:c>
      <x:c r="E18" s="30" t="str">
        <x:v>기초 진단</x:v>
      </x:c>
      <x:c r="F18" s="30"/>
      <x:c r="G18" s="66" t="str">
        <x:v>평가항목</x:v>
      </x:c>
      <x:c r="H18" s="66" t="str">
        <x:v>배점</x:v>
      </x:c>
      <x:c r="I18" s="66" t="str">
        <x:v>득점</x:v>
      </x:c>
      <x:c r="J18" s="66" t="str">
        <x:v>달성률</x:v>
      </x:c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30" t="str">
        <x:v>중간평가</x:v>
      </x:c>
      <x:c r="B19" s="30" t="n">
        <x:v>71</x:v>
      </x:c>
      <x:c r="C19" s="30" t="n">
        <x:f>B19-B18</x:f>
        <x:v>19</x:v>
      </x:c>
      <x:c r="D19" s="144" t="n">
        <x:f>IF(B18=0,"",C19/B18)</x:f>
        <x:v>0.36538461538461536</x:v>
      </x:c>
      <x:c r="E19" s="30" t="str">
        <x:v>훈련 중간 점검</x:v>
      </x:c>
      <x:c r="F19" s="30"/>
      <x:c r="G19" s="30" t="str">
        <x:v>출석</x:v>
      </x:c>
      <x:c r="H19" s="30" t="n">
        <x:v>20</x:v>
      </x:c>
      <x:c r="I19" s="30" t="n">
        <x:v>20</x:v>
      </x:c>
      <x:c r="J19" s="130" t="n">
        <x:f>I19/H19</x:f>
        <x:v>1</x:v>
      </x:c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30" t="str">
        <x:v>최종평가</x:v>
      </x:c>
      <x:c r="B20" s="30" t="n">
        <x:v>87</x:v>
      </x:c>
      <x:c r="C20" s="30" t="n">
        <x:f>B20-B18</x:f>
        <x:v>35</x:v>
      </x:c>
      <x:c r="D20" s="144" t="n">
        <x:f>IF(B18=0,"",C20/B18)</x:f>
        <x:v>0.6730769230769231</x:v>
      </x:c>
      <x:c r="E20" s="30" t="str">
        <x:v>최종 성취</x:v>
      </x:c>
      <x:c r="F20" s="30"/>
      <x:c r="G20" s="30" t="str">
        <x:v>과제</x:v>
      </x:c>
      <x:c r="H20" s="30" t="n">
        <x:v>20</x:v>
      </x:c>
      <x:c r="I20" s="30" t="n">
        <x:v>18</x:v>
      </x:c>
      <x:c r="J20" s="130" t="n">
        <x:f>I20/H20</x:f>
        <x:v>0.9</x:v>
      </x:c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30" t="str">
        <x:v>총 성장</x:v>
      </x:c>
      <x:c r="B21" s="30" t="n">
        <x:f>B20-B18</x:f>
        <x:v>35</x:v>
      </x:c>
      <x:c r="C21" s="30" t="n">
        <x:f>B21</x:f>
        <x:v>35</x:v>
      </x:c>
      <x:c r="D21" s="144" t="str"/>
      <x:c r="E21" s="30" t="str"/>
      <x:c r="F21" s="30"/>
      <x:c r="G21" s="30" t="str">
        <x:v>프로젝트</x:v>
      </x:c>
      <x:c r="H21" s="30" t="n">
        <x:v>40</x:v>
      </x:c>
      <x:c r="I21" s="30" t="n">
        <x:v>35</x:v>
      </x:c>
      <x:c r="J21" s="130" t="n">
        <x:f>I21/H21</x:f>
        <x:v>0.875</x:v>
      </x:c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30"/>
      <x:c r="B22" s="30"/>
      <x:c r="C22" s="30"/>
      <x:c r="D22" s="30"/>
      <x:c r="E22" s="30"/>
      <x:c r="F22" s="30"/>
      <x:c r="G22" s="30" t="str">
        <x:v>중간평가</x:v>
      </x:c>
      <x:c r="H22" s="30" t="n">
        <x:v>10</x:v>
      </x:c>
      <x:c r="I22" s="30" t="n">
        <x:v>8</x:v>
      </x:c>
      <x:c r="J22" s="130" t="n">
        <x:f>I22/H22</x:f>
        <x:v>0.8</x:v>
      </x:c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43" t="str">
        <x:v>능력단위별 점수</x:v>
      </x:c>
      <x:c r="B23" s="143"/>
      <x:c r="C23" s="143"/>
      <x:c r="D23" s="143"/>
      <x:c r="E23" s="143"/>
      <x:c r="F23" s="143"/>
      <x:c r="G23" s="143" t="str">
        <x:v>최종평가</x:v>
      </x:c>
      <x:c r="H23" s="143" t="n">
        <x:v>10</x:v>
      </x:c>
      <x:c r="I23" s="143" t="n">
        <x:v>8</x:v>
      </x:c>
      <x:c r="J23" s="145" t="n">
        <x:f>I23/H23</x:f>
        <x:v>0.8</x:v>
      </x:c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66" t="str">
        <x:v>능력단위</x:v>
      </x:c>
      <x:c r="B24" s="66" t="str">
        <x:v>점수</x:v>
      </x:c>
      <x:c r="C24" s="66" t="str">
        <x:v>등급</x:v>
      </x:c>
      <x:c r="D24" s="66" t="str">
        <x:v>상태</x:v>
      </x:c>
      <x:c r="E24" s="66" t="str">
        <x:v>개선메모</x:v>
      </x:c>
      <x:c r="F24" s="30"/>
      <x:c r="G24" s="30" t="str">
        <x:v>합계</x:v>
      </x:c>
      <x:c r="H24" s="30" t="n">
        <x:f>SUM(H19:H23)</x:f>
        <x:v>100</x:v>
      </x:c>
      <x:c r="I24" s="30" t="n">
        <x:f>SUM(I19:I23)</x:f>
        <x:v>89</x:v>
      </x:c>
      <x:c r="J24" s="130" t="n">
        <x:f>I24/H24</x:f>
        <x:v>0.89</x:v>
      </x:c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30" t="str">
        <x:v>UI 설계</x:v>
      </x:c>
      <x:c r="B25" s="30" t="n">
        <x:v>92</x:v>
      </x:c>
      <x:c r="C25" s="30" t="str">
        <x:f>IF(B25&gt;=90,"A",IF(B25&gt;=80,"B+",IF(B25&gt;=70,"B","C")))</x:f>
        <x:v>A</x:v>
      </x:c>
      <x:c r="D25" s="30" t="str">
        <x:f>IF(B25&gt;=90,"강점",IF(B25&gt;=80,"양호","보완"))</x:f>
        <x:v>강점</x:v>
      </x:c>
      <x:c r="E25" s="30" t="str">
        <x:f>IF(D25="보완","보완 학습 권장","유지·심화")</x:f>
        <x:v>유지·심화</x:v>
      </x:c>
      <x:c r="F25" s="30"/>
      <x:c r="G25" s="30"/>
      <x:c r="H25" s="30"/>
      <x:c r="I25" s="30"/>
      <x:c r="J25" s="30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30" t="str">
        <x:v>UX 기획/분석</x:v>
      </x:c>
      <x:c r="B26" s="30" t="n">
        <x:v>84</x:v>
      </x:c>
      <x:c r="C26" s="30" t="str">
        <x:f>IF(B26&gt;=90,"A",IF(B26&gt;=80,"B+",IF(B26&gt;=70,"B","C")))</x:f>
        <x:v>B+</x:v>
      </x:c>
      <x:c r="D26" s="30" t="str">
        <x:f>IF(B26&gt;=90,"강점",IF(B26&gt;=80,"양호","보완"))</x:f>
        <x:v>양호</x:v>
      </x:c>
      <x:c r="E26" s="30" t="str">
        <x:f>IF(D26="보완","보완 학습 권장","유지·심화")</x:f>
        <x:v>유지·심화</x:v>
      </x:c>
      <x:c r="F26" s="30"/>
      <x:c r="G26" s="143" t="str">
        <x:v>프로젝트 수행 결과</x:v>
      </x:c>
      <x:c r="H26" s="143"/>
      <x:c r="I26" s="143"/>
      <x:c r="J26" s="143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30" t="str">
        <x:v>AI 활용 능력</x:v>
      </x:c>
      <x:c r="B27" s="30" t="n">
        <x:v>90</x:v>
      </x:c>
      <x:c r="C27" s="30" t="str">
        <x:f>IF(B27&gt;=90,"A",IF(B27&gt;=80,"B+",IF(B27&gt;=70,"B","C")))</x:f>
        <x:v>A</x:v>
      </x:c>
      <x:c r="D27" s="30" t="str">
        <x:f>IF(B27&gt;=90,"강점",IF(B27&gt;=80,"양호","보완"))</x:f>
        <x:v>강점</x:v>
      </x:c>
      <x:c r="E27" s="30" t="str">
        <x:f>IF(D27="보완","보완 학습 권장","유지·심화")</x:f>
        <x:v>유지·심화</x:v>
      </x:c>
      <x:c r="F27" s="30"/>
      <x:c r="G27" s="66" t="str">
        <x:v>프로젝트명</x:v>
      </x:c>
      <x:c r="H27" s="66" t="str">
        <x:v>역할</x:v>
      </x:c>
      <x:c r="I27" s="66" t="str">
        <x:v>수행기간</x:v>
      </x:c>
      <x:c r="J27" s="66" t="str">
        <x:v>평가등급</x:v>
      </x:c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30" t="str">
        <x:v>프로젝트 이해</x:v>
      </x:c>
      <x:c r="B28" s="30" t="n">
        <x:v>82</x:v>
      </x:c>
      <x:c r="C28" s="30" t="str">
        <x:f>IF(B28&gt;=90,"A",IF(B28&gt;=80,"B+",IF(B28&gt;=70,"B","C")))</x:f>
        <x:v>B+</x:v>
      </x:c>
      <x:c r="D28" s="30" t="str">
        <x:f>IF(B28&gt;=90,"강점",IF(B28&gt;=80,"양호","보완"))</x:f>
        <x:v>양호</x:v>
      </x:c>
      <x:c r="E28" s="30" t="str">
        <x:f>IF(D28="보완","보완 학습 권장","유지·심화")</x:f>
        <x:v>유지·심화</x:v>
      </x:c>
      <x:c r="F28" s="30"/>
      <x:c r="G28" s="30" t="str">
        <x:v>서비스 기획 및 UI 설계</x:v>
      </x:c>
      <x:c r="H28" s="30" t="str">
        <x:v>UI 설계</x:v>
      </x:c>
      <x:c r="I28" s="30" t="str">
        <x:v>03.16~04.24</x:v>
      </x:c>
      <x:c r="J28" s="30" t="str">
        <x:v>우수</x:v>
      </x:c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30" t="str">
        <x:v>협업 및 커뮤니케이션</x:v>
      </x:c>
      <x:c r="B29" s="30" t="n">
        <x:v>95</x:v>
      </x:c>
      <x:c r="C29" s="30" t="str">
        <x:f>IF(B29&gt;=90,"A",IF(B29&gt;=80,"B+",IF(B29&gt;=70,"B","C")))</x:f>
        <x:v>A</x:v>
      </x:c>
      <x:c r="D29" s="30" t="str">
        <x:f>IF(B29&gt;=90,"강점",IF(B29&gt;=80,"양호","보완"))</x:f>
        <x:v>강점</x:v>
      </x:c>
      <x:c r="E29" s="30" t="str">
        <x:f>IF(D29="보완","보완 학습 권장","유지·심화")</x:f>
        <x:v>유지·심화</x:v>
      </x:c>
      <x:c r="F29" s="30"/>
      <x:c r="G29" s="30" t="str">
        <x:v>AI 챗봇 UI/UX 개발</x:v>
      </x:c>
      <x:c r="H29" s="30" t="str">
        <x:v>UX 리서치</x:v>
      </x:c>
      <x:c r="I29" s="30" t="str">
        <x:v>04.27~05.28</x:v>
      </x:c>
      <x:c r="J29" s="30" t="str">
        <x:v>우수</x:v>
      </x:c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30" t="str">
        <x:v>문서화/보고</x:v>
      </x:c>
      <x:c r="B30" s="30" t="n">
        <x:v>78</x:v>
      </x:c>
      <x:c r="C30" s="30" t="str">
        <x:f>IF(B30&gt;=90,"A",IF(B30&gt;=80,"B+",IF(B30&gt;=70,"B","C")))</x:f>
        <x:v>B</x:v>
      </x:c>
      <x:c r="D30" s="30" t="str">
        <x:f>IF(B30&gt;=90,"강점",IF(B30&gt;=80,"양호","보완"))</x:f>
        <x:v>보완</x:v>
      </x:c>
      <x:c r="E30" s="30" t="str">
        <x:f>IF(D30="보완","보완 학습 권장","유지·심화")</x:f>
        <x:v>보완 학습 권장</x:v>
      </x:c>
      <x:c r="F30" s="30"/>
      <x:c r="G30" s="30" t="str">
        <x:v>포트폴리오 웹사이트</x:v>
      </x:c>
      <x:c r="H30" s="30" t="str">
        <x:v>디자인/프론트</x:v>
      </x:c>
      <x:c r="I30" s="30" t="str">
        <x:v>05.29~06.25</x:v>
      </x:c>
      <x:c r="J30" s="30" t="str">
        <x:v>우수</x:v>
      </x:c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30"/>
      <x:c r="B31" s="30"/>
      <x:c r="C31" s="30"/>
      <x:c r="D31" s="30"/>
      <x:c r="E31" s="30"/>
      <x:c r="F31" s="30"/>
      <x:c r="G31" s="30" t="str"/>
      <x:c r="H31" s="30" t="str"/>
      <x:c r="I31" s="30" t="str"/>
      <x:c r="J31" s="30" t="str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J2"/>
    <x:mergeCell ref="A4:J4"/>
    <x:mergeCell ref="A8:J8"/>
    <x:mergeCell ref="A16:J16"/>
    <x:mergeCell ref="A23:J23"/>
    <x:mergeCell ref="G17:J17"/>
    <x:mergeCell ref="G26:J26"/>
  </x:mergeCells>
  <x:conditionalFormatting sqref="B25:B3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{60B4A28B-366C-E4AD-9722-39A564D4D1B8}</x14:id>
        </x:ext>
      </x:extLst>
    </x:cfRule>
  </x:conditionalFormatting>
  <x:conditionalFormatting sqref="J19:J24">
    <x:cfRule type="dataBar" priority="2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{7D25F4D7-FD54-F838-A36E-585064976C84}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B4A28B-366C-E4AD-9722-39A564D4D1B8}">
            <x14:dataBar gradient="1">
              <x14:cfvo type="min"/>
              <x14:cfvo type="max"/>
              <x14:fillColor rgb="FF2563EB"/>
            </x14:dataBar>
          </x14:cfRule>
          <xm:sqref>B25:B30</xm:sqref>
        </x14:conditionalFormatting>
        <x14:conditionalFormatting>
          <x14:cfRule type="dataBar" priority="2" id="{7D25F4D7-FD54-F838-A36E-585064976C84}">
            <x14:dataBar gradient="1">
              <x14:cfvo type="min"/>
              <x14:cfvo type="max"/>
              <x14:fillColor rgb="FF22C55E"/>
            </x14:dataBar>
          </x14:cfRule>
          <xm:sqref>J19:J24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8" hidden="0" customWidth="1"/>
    <x:col min="4" max="4" width="14" hidden="0" customWidth="1"/>
    <x:col min="5" max="5" width="32" hidden="0" customWidth="1"/>
    <x:col min="6" max="6" width="20" hidden="0" customWidth="1"/>
  </x:cols>
  <x:sheetData>
    <x:row r="1">
      <x:c r="A1" s="138" t="str">
        <x:v>프로젝트 결과물 검수 체크리스트</x:v>
      </x:c>
      <x:c r="B1" s="138"/>
      <x:c r="C1" s="138"/>
      <x:c r="D1" s="138"/>
      <x:c r="E1" s="138"/>
      <x:c r="F1" s="138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38"/>
      <x:c r="B2" s="138"/>
      <x:c r="C2" s="138"/>
      <x:c r="D2" s="138"/>
      <x:c r="E2" s="138"/>
      <x:c r="F2" s="138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65" t="str">
        <x:v>No</x:v>
      </x:c>
      <x:c r="B4" s="65" t="str">
        <x:v>구분</x:v>
      </x:c>
      <x:c r="C4" s="65" t="str">
        <x:v>체크 항목</x:v>
      </x:c>
      <x:c r="D4" s="65" t="str">
        <x:v>상태</x:v>
      </x:c>
      <x:c r="E4" s="65" t="str">
        <x:v>검토 메모</x:v>
      </x:c>
      <x:c r="F4" s="65" t="str">
        <x:v>담당</x:v>
      </x:c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26" t="n">
        <x:v>1</x:v>
      </x:c>
      <x:c r="B5" s="120" t="str">
        <x:v>기획</x:v>
      </x:c>
      <x:c r="C5" s="17" t="str">
        <x:v>기업 제공용 목적에 맞게 성장성과 채용 적합도가 먼저 보이는가?</x:v>
      </x:c>
      <x:c r="D5" s="17" t="str">
        <x:v>대기</x:v>
      </x:c>
      <x:c r="E5" s="17" t="str"/>
      <x:c r="F5" s="17" t="str">
        <x:v>기획</x:v>
      </x:c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26" t="n">
        <x:v>2</x:v>
      </x:c>
      <x:c r="B6" s="120" t="str">
        <x:v>정보구조</x:v>
      </x:c>
      <x:c r="C6" s="17" t="str">
        <x:v>좌측 브랜딩·중앙 대시보드·우측 결과서의 3분할 구조가 명확한가?</x:v>
      </x:c>
      <x:c r="D6" s="17" t="str">
        <x:v>대기</x:v>
      </x:c>
      <x:c r="E6" s="17" t="str"/>
      <x:c r="F6" s="17" t="str">
        <x:v>기획</x:v>
      </x:c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26" t="n">
        <x:v>3</x:v>
      </x:c>
      <x:c r="B7" s="120" t="str">
        <x:v>개인정보</x:v>
      </x:c>
      <x:c r="C7" s="17" t="str">
        <x:v>실명, 연락처, 포트폴리오 링크 등 개인정보 노출 수준이 정책에 맞는가?</x:v>
      </x:c>
      <x:c r="D7" s="17" t="str">
        <x:v>대기</x:v>
      </x:c>
      <x:c r="E7" s="17" t="str"/>
      <x:c r="F7" s="17" t="str">
        <x:v>운영</x:v>
      </x:c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26" t="n">
        <x:v>4</x:v>
      </x:c>
      <x:c r="B8" s="120" t="str">
        <x:v>데이터</x:v>
      </x:c>
      <x:c r="C8" s="17" t="str">
        <x:v>출석률, 성장률, 참여율, 총점 공식이 원천 데이터와 일치하는가?</x:v>
      </x:c>
      <x:c r="D8" s="17" t="str">
        <x:v>대기</x:v>
      </x:c>
      <x:c r="E8" s="17" t="str"/>
      <x:c r="F8" s="17" t="str">
        <x:v>데이터</x:v>
      </x:c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26" t="n">
        <x:v>5</x:v>
      </x:c>
      <x:c r="B9" s="120" t="str">
        <x:v>시각화</x:v>
      </x:c>
      <x:c r="C9" s="17" t="str">
        <x:v>KPI, 성장 추이, 역량, 채용 적합도 시각화가 과장 없이 읽히는가?</x:v>
      </x:c>
      <x:c r="D9" s="17" t="str">
        <x:v>대기</x:v>
      </x:c>
      <x:c r="E9" s="17" t="str"/>
      <x:c r="F9" s="17" t="str">
        <x:v>디자인</x:v>
      </x:c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26" t="n">
        <x:v>6</x:v>
      </x:c>
      <x:c r="B10" s="120" t="str">
        <x:v>문장</x:v>
      </x:c>
      <x:c r="C10" s="17" t="str">
        <x:v>강점·보완점·교수자 의견이 기업 커뮤니케이션에 적합한 표현인가?</x:v>
      </x:c>
      <x:c r="D10" s="17" t="str">
        <x:v>대기</x:v>
      </x:c>
      <x:c r="E10" s="17" t="str"/>
      <x:c r="F10" s="17" t="str">
        <x:v>교수자</x:v>
      </x:c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26" t="n">
        <x:v>7</x:v>
      </x:c>
      <x:c r="B11" s="120" t="str">
        <x:v>출력</x:v>
      </x:c>
      <x:c r="C11" s="17" t="str">
        <x:v>PDF/인쇄 시 결과서 패널이 잘리지 않고 A4 또는 와이드 출력 기준에 맞는가?</x:v>
      </x:c>
      <x:c r="D11" s="17" t="str">
        <x:v>대기</x:v>
      </x:c>
      <x:c r="E11" s="17" t="str"/>
      <x:c r="F11" s="17" t="str">
        <x:v>운영</x:v>
      </x:c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26" t="n">
        <x:v>8</x:v>
      </x:c>
      <x:c r="B12" s="120" t="str">
        <x:v>연동</x:v>
      </x:c>
      <x:c r="C12" s="17" t="str">
        <x:v>추후 구글폼/시트 데이터와 연결할 셀·필드 기준이 분리되어 있는가?</x:v>
      </x:c>
      <x:c r="D12" s="17" t="str">
        <x:v>대기</x:v>
      </x:c>
      <x:c r="E12" s="17" t="str"/>
      <x:c r="F12" s="17" t="str">
        <x:v>개발</x:v>
      </x:c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mergeCells>
    <x:mergeCell ref="A1:F2"/>
  </x:mergeCells>
  <x:dataValidations count="1">
    <x:dataValidation type="list" sqref="D5:D12">
      <x:formula1>"대기,진행,완료,보류"</x:formula1>
    </x:dataValidation>
  </x:dataValidations>
  <x:pageMargins left="0.7" right="0.7" top="0.75" bottom="0.75" header="0.3" footer="0.3"/>
</x:worksheet>
</file>